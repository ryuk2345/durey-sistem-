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cionario" sheetId="1" state="visible" r:id="rId3"/>
    <sheet name="Mano de obra" sheetId="2" state="visible" r:id="rId4"/>
    <sheet name="Maestro de model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<sst xmlns="http://schemas.openxmlformats.org/spreadsheetml/2006/main" count="123" uniqueCount="84">
  <si>
    <t xml:space="preserve">Diccionario de codificación — RAFFÜSS para Durey</t>
  </si>
  <si>
    <t xml:space="preserve">Estructura del código (SKU):  CATEGORÍA - TIPO - CALIDAD - TALLA - COLOR</t>
  </si>
  <si>
    <t xml:space="preserve">Ejemplo:  NIN-TOB-AFE-T03-NEG  =  Niño · tobillera · afelpada · talla 3 · negro</t>
  </si>
  <si>
    <t xml:space="preserve">Código de barras = SKU + “-12D”   (1 etiqueta = 12 docenas = 144 pares)</t>
  </si>
  <si>
    <t xml:space="preserve">Las celdas amarillas y los códigos marcados (confirmar) deben validarse con el cliente.</t>
  </si>
  <si>
    <t xml:space="preserve">Categoría</t>
  </si>
  <si>
    <t xml:space="preserve">Significado</t>
  </si>
  <si>
    <t xml:space="preserve">Tipo (silueta)</t>
  </si>
  <si>
    <t xml:space="preserve">BEB</t>
  </si>
  <si>
    <t xml:space="preserve">Bebés</t>
  </si>
  <si>
    <t xml:space="preserve">TOB</t>
  </si>
  <si>
    <t xml:space="preserve">Tobillera</t>
  </si>
  <si>
    <t xml:space="preserve">NIN</t>
  </si>
  <si>
    <t xml:space="preserve">Niños</t>
  </si>
  <si>
    <t xml:space="preserve">MCA</t>
  </si>
  <si>
    <t xml:space="preserve">Media caña</t>
  </si>
  <si>
    <t xml:space="preserve">DAM</t>
  </si>
  <si>
    <t xml:space="preserve">Damas</t>
  </si>
  <si>
    <t xml:space="preserve">LAR</t>
  </si>
  <si>
    <t xml:space="preserve">Larga / bota</t>
  </si>
  <si>
    <t xml:space="preserve">CAB</t>
  </si>
  <si>
    <t xml:space="preserve">Caballeros / adultos</t>
  </si>
  <si>
    <t xml:space="preserve">INV</t>
  </si>
  <si>
    <t xml:space="preserve">Invisible</t>
  </si>
  <si>
    <t xml:space="preserve">FUT</t>
  </si>
  <si>
    <t xml:space="preserve">Fútbol / deportivo</t>
  </si>
  <si>
    <t xml:space="preserve">Calidad</t>
  </si>
  <si>
    <t xml:space="preserve">Talla</t>
  </si>
  <si>
    <t xml:space="preserve">AFE</t>
  </si>
  <si>
    <t xml:space="preserve">Afelpada (gruesa)</t>
  </si>
  <si>
    <t xml:space="preserve">T02</t>
  </si>
  <si>
    <t xml:space="preserve">Talla 2 (niño)</t>
  </si>
  <si>
    <t xml:space="preserve">DEL</t>
  </si>
  <si>
    <t xml:space="preserve">Delgada (fina)</t>
  </si>
  <si>
    <t xml:space="preserve">T03</t>
  </si>
  <si>
    <t xml:space="preserve">Talla 3 (niño)</t>
  </si>
  <si>
    <t xml:space="preserve">T04</t>
  </si>
  <si>
    <t xml:space="preserve">Talla 4 (niño)</t>
  </si>
  <si>
    <t xml:space="preserve">Color</t>
  </si>
  <si>
    <t xml:space="preserve">T05</t>
  </si>
  <si>
    <t xml:space="preserve">Talla 5 (niño)</t>
  </si>
  <si>
    <t xml:space="preserve">NEG</t>
  </si>
  <si>
    <t xml:space="preserve">Negro</t>
  </si>
  <si>
    <t xml:space="preserve">TUN</t>
  </si>
  <si>
    <t xml:space="preserve">Talla única (confirmar adulto/dama)</t>
  </si>
  <si>
    <t xml:space="preserve">BLA</t>
  </si>
  <si>
    <t xml:space="preserve">Blanco</t>
  </si>
  <si>
    <t xml:space="preserve">AZU</t>
  </si>
  <si>
    <t xml:space="preserve">Azul</t>
  </si>
  <si>
    <t xml:space="preserve">MAR</t>
  </si>
  <si>
    <t xml:space="preserve">Marino</t>
  </si>
  <si>
    <t xml:space="preserve">GRI</t>
  </si>
  <si>
    <t xml:space="preserve">Gris</t>
  </si>
  <si>
    <t xml:space="preserve">Paquete</t>
  </si>
  <si>
    <t xml:space="preserve">ROJ</t>
  </si>
  <si>
    <t xml:space="preserve">Rojo</t>
  </si>
  <si>
    <t xml:space="preserve">12D</t>
  </si>
  <si>
    <t xml:space="preserve">Paquete de 12 docenas = 144 pares</t>
  </si>
  <si>
    <t xml:space="preserve">VER</t>
  </si>
  <si>
    <t xml:space="preserve">Verde</t>
  </si>
  <si>
    <t xml:space="preserve">(+)</t>
  </si>
  <si>
    <t xml:space="preserve">Agregar según paleta</t>
  </si>
  <si>
    <t xml:space="preserve">Mano de obra — costo por docena</t>
  </si>
  <si>
    <t xml:space="preserve">11 mesas · pago por hora. Ajuste las celdas amarillas con datos reales.</t>
  </si>
  <si>
    <t xml:space="preserve">Sueldo por hora (S/)</t>
  </si>
  <si>
    <t xml:space="preserve">Horas por día</t>
  </si>
  <si>
    <t xml:space="preserve">Docenas por persona / día (108–150)</t>
  </si>
  <si>
    <t xml:space="preserve">Sueldo por día (S/)</t>
  </si>
  <si>
    <t xml:space="preserve">Costo M.O. por docena (S/)</t>
  </si>
  <si>
    <t xml:space="preserve">Costo M.O. por paquete 12 doc (S/)</t>
  </si>
  <si>
    <t xml:space="preserve">Capacidad equipo en acabado = 11 mesas × docenas/persona/día</t>
  </si>
  <si>
    <t xml:space="preserve">Capacidad acabado (docenas/día)</t>
  </si>
  <si>
    <t xml:space="preserve">Maestro de modelos — código y costeo</t>
  </si>
  <si>
    <t xml:space="preserve">Azul = dato a ingresar · Negro = fórmula · Verde = enlace a Mano de obra. Las filas son ejemplos: reemplace con sus modelos.</t>
  </si>
  <si>
    <t xml:space="preserve">Tipo</t>
  </si>
  <si>
    <t xml:space="preserve">Código SKU</t>
  </si>
  <si>
    <t xml:space="preserve">Peso x docena (g)</t>
  </si>
  <si>
    <t xml:space="preserve">Costo hilo (S//g)</t>
  </si>
  <si>
    <t xml:space="preserve">Material / doc (S/)</t>
  </si>
  <si>
    <t xml:space="preserve">M.O. / doc (S/)</t>
  </si>
  <si>
    <t xml:space="preserve">Costo total / doc (S/)</t>
  </si>
  <si>
    <t xml:space="preserve">Precio mayorista / doc (S/)</t>
  </si>
  <si>
    <t xml:space="preserve">Margen</t>
  </si>
  <si>
    <t xml:space="preserve">Código de barras (12 doc)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</si>
</sst>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General"/>
    <numFmt numFmtId="167" formatCode="#,##0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3203E"/>
      <name val="Arial"/>
      <family val="0"/>
      <charset val="1"/>
    </font>
    <font>
      <sz val="10"/>
      <color rgb="FF5F5E5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3203E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2A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13203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"/>
    <col collapsed="false" customWidth="true" hidden="false" outlineLevel="0" max="4" min="4" style="0" width="10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8" customFormat="false" ht="15" hidden="false" customHeight="false" outlineLevel="0" collapsed="false">
      <c r="A8" s="3" t="s">
        <v>5</v>
      </c>
      <c r="B8" s="3" t="s">
        <v>6</v>
      </c>
      <c r="D8" s="3" t="s">
        <v>7</v>
      </c>
      <c r="E8" s="3" t="s">
        <v>6</v>
      </c>
    </row>
    <row r="9" customFormat="false" ht="15" hidden="false" customHeight="false" outlineLevel="0" collapsed="false">
      <c r="A9" s="4" t="s">
        <v>8</v>
      </c>
      <c r="B9" s="5" t="s">
        <v>9</v>
      </c>
      <c r="D9" s="4" t="s">
        <v>10</v>
      </c>
      <c r="E9" s="5" t="s">
        <v>11</v>
      </c>
    </row>
    <row r="10" customFormat="false" ht="15" hidden="false" customHeight="false" outlineLevel="0" collapsed="false">
      <c r="A10" s="4" t="s">
        <v>12</v>
      </c>
      <c r="B10" s="5" t="s">
        <v>13</v>
      </c>
      <c r="D10" s="4" t="s">
        <v>14</v>
      </c>
      <c r="E10" s="5" t="s">
        <v>15</v>
      </c>
    </row>
    <row r="11" customFormat="false" ht="15" hidden="false" customHeight="false" outlineLevel="0" collapsed="false">
      <c r="A11" s="4" t="s">
        <v>16</v>
      </c>
      <c r="B11" s="5" t="s">
        <v>17</v>
      </c>
      <c r="D11" s="4" t="s">
        <v>18</v>
      </c>
      <c r="E11" s="5" t="s">
        <v>19</v>
      </c>
    </row>
    <row r="12" customFormat="false" ht="15" hidden="false" customHeight="false" outlineLevel="0" collapsed="false">
      <c r="A12" s="4" t="s">
        <v>20</v>
      </c>
      <c r="B12" s="5" t="s">
        <v>21</v>
      </c>
      <c r="D12" s="4" t="s">
        <v>22</v>
      </c>
      <c r="E12" s="5" t="s">
        <v>23</v>
      </c>
    </row>
    <row r="13" customFormat="false" ht="15" hidden="false" customHeight="false" outlineLevel="0" collapsed="false">
      <c r="A13" s="4" t="s">
        <v>24</v>
      </c>
      <c r="B13" s="5" t="s">
        <v>25</v>
      </c>
    </row>
    <row r="16" customFormat="false" ht="15" hidden="false" customHeight="false" outlineLevel="0" collapsed="false">
      <c r="A16" s="3" t="s">
        <v>26</v>
      </c>
      <c r="B16" s="3" t="s">
        <v>6</v>
      </c>
      <c r="D16" s="3" t="s">
        <v>27</v>
      </c>
      <c r="E16" s="3" t="s">
        <v>6</v>
      </c>
    </row>
    <row r="17" customFormat="false" ht="15" hidden="false" customHeight="false" outlineLevel="0" collapsed="false">
      <c r="A17" s="4" t="s">
        <v>28</v>
      </c>
      <c r="B17" s="5" t="s">
        <v>29</v>
      </c>
      <c r="D17" s="4" t="s">
        <v>30</v>
      </c>
      <c r="E17" s="5" t="s">
        <v>31</v>
      </c>
    </row>
    <row r="18" customFormat="false" ht="15" hidden="false" customHeight="false" outlineLevel="0" collapsed="false">
      <c r="A18" s="4" t="s">
        <v>32</v>
      </c>
      <c r="B18" s="5" t="s">
        <v>33</v>
      </c>
      <c r="D18" s="4" t="s">
        <v>34</v>
      </c>
      <c r="E18" s="5" t="s">
        <v>35</v>
      </c>
    </row>
    <row r="19" customFormat="false" ht="15" hidden="false" customHeight="false" outlineLevel="0" collapsed="false">
      <c r="D19" s="4" t="s">
        <v>36</v>
      </c>
      <c r="E19" s="5" t="s">
        <v>37</v>
      </c>
    </row>
    <row r="20" customFormat="false" ht="15" hidden="false" customHeight="false" outlineLevel="0" collapsed="false">
      <c r="A20" s="3" t="s">
        <v>38</v>
      </c>
      <c r="B20" s="3" t="s">
        <v>6</v>
      </c>
      <c r="D20" s="4" t="s">
        <v>39</v>
      </c>
      <c r="E20" s="5" t="s">
        <v>40</v>
      </c>
    </row>
    <row r="21" customFormat="false" ht="15" hidden="false" customHeight="false" outlineLevel="0" collapsed="false">
      <c r="A21" s="4" t="s">
        <v>41</v>
      </c>
      <c r="B21" s="5" t="s">
        <v>42</v>
      </c>
      <c r="D21" s="4" t="s">
        <v>43</v>
      </c>
      <c r="E21" s="5" t="s">
        <v>44</v>
      </c>
    </row>
    <row r="22" customFormat="false" ht="15" hidden="false" customHeight="false" outlineLevel="0" collapsed="false">
      <c r="A22" s="4" t="s">
        <v>45</v>
      </c>
      <c r="B22" s="5" t="s">
        <v>46</v>
      </c>
    </row>
    <row r="23" customFormat="false" ht="15" hidden="false" customHeight="false" outlineLevel="0" collapsed="false">
      <c r="A23" s="4" t="s">
        <v>47</v>
      </c>
      <c r="B23" s="5" t="s">
        <v>48</v>
      </c>
    </row>
    <row r="24" customFormat="false" ht="15" hidden="false" customHeight="false" outlineLevel="0" collapsed="false">
      <c r="A24" s="4" t="s">
        <v>49</v>
      </c>
      <c r="B24" s="5" t="s">
        <v>50</v>
      </c>
    </row>
    <row r="25" customFormat="false" ht="15" hidden="false" customHeight="false" outlineLevel="0" collapsed="false">
      <c r="A25" s="4" t="s">
        <v>51</v>
      </c>
      <c r="B25" s="5" t="s">
        <v>52</v>
      </c>
      <c r="D25" s="3" t="s">
        <v>53</v>
      </c>
      <c r="E25" s="3" t="s">
        <v>6</v>
      </c>
    </row>
    <row r="26" customFormat="false" ht="15" hidden="false" customHeight="false" outlineLevel="0" collapsed="false">
      <c r="A26" s="4" t="s">
        <v>54</v>
      </c>
      <c r="B26" s="5" t="s">
        <v>55</v>
      </c>
      <c r="D26" s="4" t="s">
        <v>56</v>
      </c>
      <c r="E26" s="5" t="s">
        <v>57</v>
      </c>
    </row>
    <row r="27" customFormat="false" ht="15" hidden="false" customHeight="false" outlineLevel="0" collapsed="false">
      <c r="A27" s="4" t="s">
        <v>58</v>
      </c>
      <c r="B27" s="5" t="s">
        <v>59</v>
      </c>
    </row>
    <row r="28" customFormat="false" ht="15" hidden="false" customHeight="false" outlineLevel="0" collapsed="false">
      <c r="A28" s="4" t="s">
        <v>60</v>
      </c>
      <c r="B28" s="5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15" hidden="false" customHeight="false" outlineLevel="0" collapsed="false">
      <c r="A4" s="5" t="s">
        <v>64</v>
      </c>
      <c r="B4" s="6" t="n">
        <v>6</v>
      </c>
    </row>
    <row r="5" customFormat="false" ht="15" hidden="false" customHeight="false" outlineLevel="0" collapsed="false">
      <c r="A5" s="5" t="s">
        <v>65</v>
      </c>
      <c r="B5" s="7" t="n">
        <v>8</v>
      </c>
    </row>
    <row r="6" customFormat="false" ht="15" hidden="false" customHeight="false" outlineLevel="0" collapsed="false">
      <c r="A6" s="5" t="s">
        <v>66</v>
      </c>
      <c r="B6" s="7" t="n">
        <v>120</v>
      </c>
    </row>
    <row r="7" customFormat="false" ht="15" hidden="false" customHeight="false" outlineLevel="0" collapsed="false">
      <c r="A7" s="5" t="s">
        <v>67</v>
      </c>
      <c r="B7" s="8" t="n">
        <f aca="false">B4*B5</f>
        <v>48</v>
      </c>
    </row>
    <row r="8" customFormat="false" ht="15" hidden="false" customHeight="false" outlineLevel="0" collapsed="false">
      <c r="A8" s="5" t="s">
        <v>68</v>
      </c>
      <c r="B8" s="8" t="n">
        <f aca="false">B7/B6</f>
        <v>0.4</v>
      </c>
    </row>
    <row r="9" customFormat="false" ht="15" hidden="false" customHeight="false" outlineLevel="0" collapsed="false">
      <c r="A9" s="5" t="s">
        <v>69</v>
      </c>
      <c r="B9" s="8" t="n">
        <f aca="false">B8*12</f>
        <v>4.8</v>
      </c>
    </row>
    <row r="11" customFormat="false" ht="15" hidden="false" customHeight="false" outlineLevel="0" collapsed="false">
      <c r="A11" s="2" t="s">
        <v>70</v>
      </c>
    </row>
    <row r="12" customFormat="false" ht="15" hidden="false" customHeight="false" outlineLevel="0" collapsed="false">
      <c r="A12" s="5" t="s">
        <v>71</v>
      </c>
      <c r="B12" s="9" t="n">
        <f aca="false">11*B6</f>
        <v>1320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5" min="4" style="0" width="8"/>
    <col collapsed="false" customWidth="true" hidden="false" outlineLevel="0" max="6" min="6" style="0" width="24"/>
    <col collapsed="false" customWidth="true" hidden="false" outlineLevel="0" max="9" min="7" style="0" width="15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20"/>
    <col collapsed="false" customWidth="true" hidden="false" outlineLevel="0" max="13" min="13" style="0" width="9"/>
    <col collapsed="false" customWidth="true" hidden="false" outlineLevel="0" max="14" min="14" style="0" width="26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15" hidden="false" customHeight="false" outlineLevel="0" collapsed="false">
      <c r="A4" s="3" t="s">
        <v>5</v>
      </c>
      <c r="B4" s="3" t="s">
        <v>74</v>
      </c>
      <c r="C4" s="3" t="s">
        <v>26</v>
      </c>
      <c r="D4" s="3" t="s">
        <v>27</v>
      </c>
      <c r="E4" s="3" t="s">
        <v>38</v>
      </c>
      <c r="F4" s="3" t="s">
        <v>75</v>
      </c>
      <c r="G4" s="3" t="s">
        <v>76</v>
      </c>
      <c r="H4" s="3" t="s">
        <v>77</v>
      </c>
      <c r="I4" s="3" t="s">
        <v>78</v>
      </c>
      <c r="J4" s="3" t="s">
        <v>79</v>
      </c>
      <c r="K4" s="3" t="s">
        <v>80</v>
      </c>
      <c r="L4" s="3" t="s">
        <v>81</v>
      </c>
      <c r="M4" s="3" t="s">
        <v>82</v>
      </c>
      <c r="N4" s="3" t="s">
        <v>83</v>
      </c>
    </row>
    <row r="5" customFormat="false" ht="15" hidden="false" customHeight="false" outlineLevel="0" collapsed="false">
      <c r="A5" s="10" t="s">
        <v>12</v>
      </c>
      <c r="B5" s="10" t="s">
        <v>10</v>
      </c>
      <c r="C5" s="10" t="s">
        <v>28</v>
      </c>
      <c r="D5" s="10" t="s">
        <v>34</v>
      </c>
      <c r="E5" s="10" t="s">
        <v>41</v>
      </c>
      <c r="F5" s="4" t="str">
        <f aca="false">A5&amp;"-"&amp;B5&amp;"-"&amp;C5&amp;"-"&amp;D5&amp;"-"&amp;E5</f>
        <v>NIN-TOB-AFE-T03-NEG</v>
      </c>
      <c r="G5" s="11" t="n">
        <v>360</v>
      </c>
      <c r="H5" s="12" t="n">
        <v>0.03</v>
      </c>
      <c r="I5" s="8" t="n">
        <f aca="false">G5*H5</f>
        <v>10.8</v>
      </c>
      <c r="J5" s="13" t="n">
        <f aca="false">'Mano de obra'!$B$8</f>
        <v>0.4</v>
      </c>
      <c r="K5" s="8" t="n">
        <f aca="false">I5+J5</f>
        <v>11.2</v>
      </c>
      <c r="L5" s="12" t="n">
        <v>18</v>
      </c>
      <c r="M5" s="14" t="n">
        <f aca="false">IFERROR((L5-K5)/L5,"")</f>
        <v>0.377777777777778</v>
      </c>
      <c r="N5" s="4" t="str">
        <f aca="false">F5&amp;"-12D"</f>
        <v>NIN-TOB-AFE-T03-NEG-12D</v>
      </c>
    </row>
    <row r="6" customFormat="false" ht="15" hidden="false" customHeight="false" outlineLevel="0" collapsed="false">
      <c r="A6" s="10" t="s">
        <v>12</v>
      </c>
      <c r="B6" s="10" t="s">
        <v>10</v>
      </c>
      <c r="C6" s="10" t="s">
        <v>32</v>
      </c>
      <c r="D6" s="10" t="s">
        <v>34</v>
      </c>
      <c r="E6" s="10" t="s">
        <v>45</v>
      </c>
      <c r="F6" s="4" t="str">
        <f aca="false">A6&amp;"-"&amp;B6&amp;"-"&amp;C6&amp;"-"&amp;D6&amp;"-"&amp;E6</f>
        <v>NIN-TOB-DEL-T03-BLA</v>
      </c>
      <c r="G6" s="11" t="n">
        <v>240</v>
      </c>
      <c r="H6" s="12" t="n">
        <v>0.03</v>
      </c>
      <c r="I6" s="8" t="n">
        <f aca="false">G6*H6</f>
        <v>7.2</v>
      </c>
      <c r="J6" s="13" t="n">
        <f aca="false">'Mano de obra'!$B$8</f>
        <v>0.4</v>
      </c>
      <c r="K6" s="8" t="n">
        <f aca="false">I6+J6</f>
        <v>7.6</v>
      </c>
      <c r="L6" s="12" t="n">
        <v>14</v>
      </c>
      <c r="M6" s="14" t="n">
        <f aca="false">IFERROR((L6-K6)/L6,"")</f>
        <v>0.457142857142857</v>
      </c>
      <c r="N6" s="4" t="str">
        <f aca="false">F6&amp;"-12D"</f>
        <v>NIN-TOB-DEL-T03-BLA-12D</v>
      </c>
    </row>
    <row r="7" customFormat="false" ht="15" hidden="false" customHeight="false" outlineLevel="0" collapsed="false">
      <c r="A7" s="10" t="s">
        <v>12</v>
      </c>
      <c r="B7" s="10" t="s">
        <v>14</v>
      </c>
      <c r="C7" s="10" t="s">
        <v>28</v>
      </c>
      <c r="D7" s="10" t="s">
        <v>36</v>
      </c>
      <c r="E7" s="10" t="s">
        <v>47</v>
      </c>
      <c r="F7" s="4" t="str">
        <f aca="false">A7&amp;"-"&amp;B7&amp;"-"&amp;C7&amp;"-"&amp;D7&amp;"-"&amp;E7</f>
        <v>NIN-MCA-AFE-T04-AZU</v>
      </c>
      <c r="G7" s="11" t="n">
        <v>420</v>
      </c>
      <c r="H7" s="12" t="n">
        <v>0.03</v>
      </c>
      <c r="I7" s="8" t="n">
        <f aca="false">G7*H7</f>
        <v>12.6</v>
      </c>
      <c r="J7" s="13" t="n">
        <f aca="false">'Mano de obra'!$B$8</f>
        <v>0.4</v>
      </c>
      <c r="K7" s="8" t="n">
        <f aca="false">I7+J7</f>
        <v>13</v>
      </c>
      <c r="L7" s="12" t="n">
        <v>20</v>
      </c>
      <c r="M7" s="14" t="n">
        <f aca="false">IFERROR((L7-K7)/L7,"")</f>
        <v>0.35</v>
      </c>
      <c r="N7" s="4" t="str">
        <f aca="false">F7&amp;"-12D"</f>
        <v>NIN-MCA-AFE-T04-AZU-12D</v>
      </c>
    </row>
    <row r="8" customFormat="false" ht="15" hidden="false" customHeight="false" outlineLevel="0" collapsed="false">
      <c r="A8" s="10" t="s">
        <v>20</v>
      </c>
      <c r="B8" s="10" t="s">
        <v>14</v>
      </c>
      <c r="C8" s="10" t="s">
        <v>32</v>
      </c>
      <c r="D8" s="10" t="s">
        <v>43</v>
      </c>
      <c r="E8" s="10" t="s">
        <v>41</v>
      </c>
      <c r="F8" s="4" t="str">
        <f aca="false">A8&amp;"-"&amp;B8&amp;"-"&amp;C8&amp;"-"&amp;D8&amp;"-"&amp;E8</f>
        <v>CAB-MCA-DEL-TUN-NEG</v>
      </c>
      <c r="G8" s="11" t="n">
        <v>300</v>
      </c>
      <c r="H8" s="12" t="n">
        <v>0.032</v>
      </c>
      <c r="I8" s="8" t="n">
        <f aca="false">G8*H8</f>
        <v>9.6</v>
      </c>
      <c r="J8" s="13" t="n">
        <f aca="false">'Mano de obra'!$B$8</f>
        <v>0.4</v>
      </c>
      <c r="K8" s="8" t="n">
        <f aca="false">I8+J8</f>
        <v>10</v>
      </c>
      <c r="L8" s="12" t="n">
        <v>22</v>
      </c>
      <c r="M8" s="14" t="n">
        <f aca="false">IFERROR((L8-K8)/L8,"")</f>
        <v>0.545454545454545</v>
      </c>
      <c r="N8" s="4" t="str">
        <f aca="false">F8&amp;"-12D"</f>
        <v>CAB-MCA-DEL-TUN-NEG-12D</v>
      </c>
    </row>
    <row r="9" customFormat="false" ht="15" hidden="false" customHeight="false" outlineLevel="0" collapsed="false">
      <c r="A9" s="10" t="s">
        <v>24</v>
      </c>
      <c r="B9" s="10" t="s">
        <v>18</v>
      </c>
      <c r="C9" s="10" t="s">
        <v>28</v>
      </c>
      <c r="D9" s="10" t="s">
        <v>43</v>
      </c>
      <c r="E9" s="10" t="s">
        <v>58</v>
      </c>
      <c r="F9" s="4" t="str">
        <f aca="false">A9&amp;"-"&amp;B9&amp;"-"&amp;C9&amp;"-"&amp;D9&amp;"-"&amp;E9</f>
        <v>FUT-LAR-AFE-TUN-VER</v>
      </c>
      <c r="G9" s="11" t="n">
        <v>600</v>
      </c>
      <c r="H9" s="12" t="n">
        <v>0.032</v>
      </c>
      <c r="I9" s="8" t="n">
        <f aca="false">G9*H9</f>
        <v>19.2</v>
      </c>
      <c r="J9" s="13" t="n">
        <f aca="false">'Mano de obra'!$B$8</f>
        <v>0.4</v>
      </c>
      <c r="K9" s="8" t="n">
        <f aca="false">I9+J9</f>
        <v>19.6</v>
      </c>
      <c r="L9" s="12" t="n">
        <v>30</v>
      </c>
      <c r="M9" s="14" t="n">
        <f aca="false">IFERROR((L9-K9)/L9,"")</f>
        <v>0.346666666666667</v>
      </c>
      <c r="N9" s="4" t="str">
        <f aca="false">F9&amp;"-12D"</f>
        <v>FUT-LAR-AFE-TUN-VER-12D</v>
      </c>
    </row>
    <row r="10" customFormat="false" ht="15" hidden="false" customHeight="false" outlineLevel="0" collapsed="false">
      <c r="A10" s="10" t="s">
        <v>16</v>
      </c>
      <c r="B10" s="10" t="s">
        <v>10</v>
      </c>
      <c r="C10" s="10" t="s">
        <v>32</v>
      </c>
      <c r="D10" s="10" t="s">
        <v>43</v>
      </c>
      <c r="E10" s="10" t="s">
        <v>51</v>
      </c>
      <c r="F10" s="4" t="str">
        <f aca="false">A10&amp;"-"&amp;B10&amp;"-"&amp;C10&amp;"-"&amp;D10&amp;"-"&amp;E10</f>
        <v>DAM-TOB-DEL-TUN-GRI</v>
      </c>
      <c r="G10" s="11" t="n">
        <v>200</v>
      </c>
      <c r="H10" s="12" t="n">
        <v>0.03</v>
      </c>
      <c r="I10" s="8" t="n">
        <f aca="false">G10*H10</f>
        <v>6</v>
      </c>
      <c r="J10" s="13" t="n">
        <f aca="false">'Mano de obra'!$B$8</f>
        <v>0.4</v>
      </c>
      <c r="K10" s="8" t="n">
        <f aca="false">I10+J10</f>
        <v>6.4</v>
      </c>
      <c r="L10" s="12" t="n">
        <v>13</v>
      </c>
      <c r="M10" s="14" t="n">
        <f aca="false">IFERROR((L10-K10)/L10,"")</f>
        <v>0.507692307692308</v>
      </c>
      <c r="N10" s="4" t="str">
        <f aca="false">F10&amp;"-12D"</f>
        <v>DAM-TOB-DEL-TUN-GRI-12D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2026-06-19T17:40:55Z</dcterms:created>
  <dc:creator>openpyxl</dc:creator>
  <dc:description/>
  <dc:language>en-US</dc:language>
  <cp:lastModifiedBy/>
  <dcterms:modified xsi:type="dcterms:W3CDTF">2026-06-19T17:40:55Z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