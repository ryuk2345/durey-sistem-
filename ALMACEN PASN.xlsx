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3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4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5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4af36d610f93a8/Documentos/"/>
    </mc:Choice>
  </mc:AlternateContent>
  <xr:revisionPtr revIDLastSave="4" documentId="13_ncr:1_{11338D99-A35B-4CBE-A330-245765127C43}" xr6:coauthVersionLast="43" xr6:coauthVersionMax="43" xr10:uidLastSave="{AE5E8725-DE52-4F45-898E-E4550BA94B35}"/>
  <bookViews>
    <workbookView xWindow="-120" yWindow="-120" windowWidth="20640" windowHeight="11160" activeTab="4" xr2:uid="{999AD380-5A81-400C-A695-591E2E514B3E}"/>
  </bookViews>
  <sheets>
    <sheet name="OCT2" sheetId="1" r:id="rId1"/>
    <sheet name="OCT3" sheetId="3" r:id="rId2"/>
    <sheet name="OCT4" sheetId="4" r:id="rId3"/>
    <sheet name="OCT5" sheetId="5" r:id="rId4"/>
    <sheet name="NOV 1" sheetId="6" r:id="rId5"/>
  </sheets>
  <definedNames>
    <definedName name="_xlnm._FilterDatabase" localSheetId="4" hidden="1">'NOV 1'!$B$4:$E$8</definedName>
    <definedName name="_xlnm._FilterDatabase" localSheetId="0" hidden="1">'OCT2'!$B$4:$E$8</definedName>
    <definedName name="_xlnm._FilterDatabase" localSheetId="1" hidden="1">'OCT3'!$B$4:$E$8</definedName>
    <definedName name="_xlnm._FilterDatabase" localSheetId="2" hidden="1">'OCT4'!$B$4:$E$8</definedName>
    <definedName name="_xlnm._FilterDatabase" localSheetId="3" hidden="1">'OCT5'!$B$4:$E$8</definedName>
    <definedName name="_xlnm.Print_Area" localSheetId="4">'NOV 1'!$A$1:$U$264</definedName>
    <definedName name="_xlnm.Print_Area" localSheetId="2">'OCT4'!$A$1:$U$264</definedName>
    <definedName name="_xlnm.Print_Area" localSheetId="3">'OCT5'!$A$1:$U$264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0" i="6" l="1"/>
  <c r="D10" i="6"/>
  <c r="D244" i="6" l="1"/>
  <c r="D245" i="6"/>
  <c r="D246" i="6"/>
  <c r="D247" i="6"/>
  <c r="E247" i="6" s="1"/>
  <c r="D248" i="6"/>
  <c r="D249" i="6"/>
  <c r="D259" i="6"/>
  <c r="E259" i="6" s="1"/>
  <c r="D260" i="6"/>
  <c r="D261" i="6"/>
  <c r="D262" i="6"/>
  <c r="D263" i="6"/>
  <c r="E263" i="6" s="1"/>
  <c r="D264" i="6"/>
  <c r="D196" i="6"/>
  <c r="D197" i="6"/>
  <c r="D200" i="6"/>
  <c r="D201" i="6"/>
  <c r="D202" i="6"/>
  <c r="D203" i="6"/>
  <c r="D204" i="6"/>
  <c r="D205" i="6"/>
  <c r="D207" i="6"/>
  <c r="D209" i="6"/>
  <c r="D210" i="6"/>
  <c r="D211" i="6"/>
  <c r="D213" i="6"/>
  <c r="D215" i="6"/>
  <c r="D216" i="6"/>
  <c r="D217" i="6"/>
  <c r="D218" i="6"/>
  <c r="D219" i="6"/>
  <c r="D220" i="6"/>
  <c r="D221" i="6"/>
  <c r="D222" i="6"/>
  <c r="D223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5" i="6"/>
  <c r="D176" i="6"/>
  <c r="D178" i="6"/>
  <c r="D179" i="6"/>
  <c r="D180" i="6"/>
  <c r="D181" i="6"/>
  <c r="E181" i="6" s="1"/>
  <c r="D182" i="6"/>
  <c r="D183" i="6"/>
  <c r="D184" i="6"/>
  <c r="D185" i="6"/>
  <c r="E185" i="6" s="1"/>
  <c r="D186" i="6"/>
  <c r="D187" i="6"/>
  <c r="D188" i="6"/>
  <c r="D189" i="6"/>
  <c r="E189" i="6" s="1"/>
  <c r="D190" i="6"/>
  <c r="D191" i="6"/>
  <c r="D192" i="6"/>
  <c r="D193" i="6"/>
  <c r="E193" i="6" s="1"/>
  <c r="D141" i="6"/>
  <c r="D142" i="6"/>
  <c r="D143" i="6"/>
  <c r="D144" i="6"/>
  <c r="D145" i="6"/>
  <c r="D146" i="6"/>
  <c r="D147" i="6"/>
  <c r="D148" i="6"/>
  <c r="D151" i="6"/>
  <c r="D101" i="6"/>
  <c r="D102" i="6"/>
  <c r="E102" i="6" s="1"/>
  <c r="D103" i="6"/>
  <c r="D105" i="6"/>
  <c r="D106" i="6"/>
  <c r="E106" i="6" s="1"/>
  <c r="D107" i="6"/>
  <c r="D108" i="6"/>
  <c r="D109" i="6"/>
  <c r="D110" i="6"/>
  <c r="E110" i="6" s="1"/>
  <c r="D115" i="6"/>
  <c r="D116" i="6"/>
  <c r="D117" i="6"/>
  <c r="D118" i="6"/>
  <c r="E118" i="6" s="1"/>
  <c r="D119" i="6"/>
  <c r="D123" i="6"/>
  <c r="D124" i="6"/>
  <c r="D125" i="6"/>
  <c r="D126" i="6"/>
  <c r="E126" i="6" s="1"/>
  <c r="D127" i="6"/>
  <c r="D128" i="6"/>
  <c r="D59" i="6"/>
  <c r="D60" i="6"/>
  <c r="D61" i="6"/>
  <c r="D62" i="6"/>
  <c r="D63" i="6"/>
  <c r="D64" i="6"/>
  <c r="D65" i="6"/>
  <c r="D66" i="6"/>
  <c r="E66" i="6" s="1"/>
  <c r="D67" i="6"/>
  <c r="D68" i="6"/>
  <c r="D69" i="6"/>
  <c r="D70" i="6"/>
  <c r="E70" i="6" s="1"/>
  <c r="D71" i="6"/>
  <c r="D72" i="6"/>
  <c r="D73" i="6"/>
  <c r="D74" i="6"/>
  <c r="E74" i="6" s="1"/>
  <c r="D75" i="6"/>
  <c r="D76" i="6"/>
  <c r="D77" i="6"/>
  <c r="D78" i="6"/>
  <c r="E78" i="6" s="1"/>
  <c r="D79" i="6"/>
  <c r="D80" i="6"/>
  <c r="D81" i="6"/>
  <c r="D82" i="6"/>
  <c r="E82" i="6" s="1"/>
  <c r="D83" i="6"/>
  <c r="D84" i="6"/>
  <c r="D85" i="6"/>
  <c r="D86" i="6"/>
  <c r="E86" i="6" s="1"/>
  <c r="D87" i="6"/>
  <c r="D88" i="6"/>
  <c r="D89" i="6"/>
  <c r="D90" i="6"/>
  <c r="E90" i="6" s="1"/>
  <c r="D91" i="6"/>
  <c r="D92" i="6"/>
  <c r="D93" i="6"/>
  <c r="D94" i="6"/>
  <c r="E94" i="6" s="1"/>
  <c r="D95" i="6"/>
  <c r="D96" i="6"/>
  <c r="D26" i="6"/>
  <c r="D27" i="6"/>
  <c r="D29" i="6"/>
  <c r="D30" i="6"/>
  <c r="D34" i="6"/>
  <c r="D39" i="6"/>
  <c r="D40" i="6"/>
  <c r="D41" i="6"/>
  <c r="D42" i="6"/>
  <c r="D43" i="6"/>
  <c r="D44" i="6"/>
  <c r="D45" i="6"/>
  <c r="D46" i="6"/>
  <c r="D49" i="6"/>
  <c r="D50" i="6"/>
  <c r="D51" i="6"/>
  <c r="D52" i="6"/>
  <c r="D53" i="6"/>
  <c r="D54" i="6"/>
  <c r="D55" i="6"/>
  <c r="D56" i="6"/>
  <c r="D21" i="6"/>
  <c r="E21" i="6" s="1"/>
  <c r="D23" i="6"/>
  <c r="R264" i="6"/>
  <c r="E264" i="6"/>
  <c r="R263" i="6"/>
  <c r="R262" i="6"/>
  <c r="E262" i="6"/>
  <c r="R261" i="6"/>
  <c r="E261" i="6"/>
  <c r="R260" i="6"/>
  <c r="E260" i="6"/>
  <c r="R259" i="6"/>
  <c r="R258" i="6"/>
  <c r="R257" i="6"/>
  <c r="R256" i="6"/>
  <c r="R255" i="6"/>
  <c r="R254" i="6"/>
  <c r="R253" i="6"/>
  <c r="R252" i="6"/>
  <c r="R251" i="6"/>
  <c r="R250" i="6"/>
  <c r="R249" i="6"/>
  <c r="E249" i="6"/>
  <c r="R248" i="6"/>
  <c r="E248" i="6"/>
  <c r="R247" i="6"/>
  <c r="R246" i="6"/>
  <c r="E246" i="6"/>
  <c r="R245" i="6"/>
  <c r="E245" i="6"/>
  <c r="R244" i="6"/>
  <c r="E244" i="6"/>
  <c r="R241" i="6"/>
  <c r="E241" i="6"/>
  <c r="R240" i="6"/>
  <c r="E240" i="6"/>
  <c r="R239" i="6"/>
  <c r="E239" i="6"/>
  <c r="R238" i="6"/>
  <c r="E238" i="6"/>
  <c r="R237" i="6"/>
  <c r="E237" i="6"/>
  <c r="R236" i="6"/>
  <c r="E236" i="6"/>
  <c r="R235" i="6"/>
  <c r="E235" i="6"/>
  <c r="R234" i="6"/>
  <c r="E234" i="6"/>
  <c r="R233" i="6"/>
  <c r="E233" i="6"/>
  <c r="R232" i="6"/>
  <c r="E232" i="6"/>
  <c r="R231" i="6"/>
  <c r="E231" i="6"/>
  <c r="R230" i="6"/>
  <c r="E230" i="6"/>
  <c r="R229" i="6"/>
  <c r="E229" i="6"/>
  <c r="R228" i="6"/>
  <c r="E228" i="6"/>
  <c r="R227" i="6"/>
  <c r="E227" i="6"/>
  <c r="R226" i="6"/>
  <c r="R225" i="6"/>
  <c r="R224" i="6"/>
  <c r="R223" i="6"/>
  <c r="E223" i="6"/>
  <c r="R222" i="6"/>
  <c r="E222" i="6"/>
  <c r="R221" i="6"/>
  <c r="E221" i="6"/>
  <c r="R220" i="6"/>
  <c r="E220" i="6"/>
  <c r="R219" i="6"/>
  <c r="E219" i="6"/>
  <c r="R218" i="6"/>
  <c r="E218" i="6"/>
  <c r="R217" i="6"/>
  <c r="E217" i="6"/>
  <c r="R216" i="6"/>
  <c r="E216" i="6"/>
  <c r="R215" i="6"/>
  <c r="E215" i="6"/>
  <c r="R214" i="6"/>
  <c r="R213" i="6"/>
  <c r="E213" i="6"/>
  <c r="R212" i="6"/>
  <c r="R211" i="6"/>
  <c r="E211" i="6"/>
  <c r="R210" i="6"/>
  <c r="E210" i="6"/>
  <c r="R209" i="6"/>
  <c r="E209" i="6"/>
  <c r="R208" i="6"/>
  <c r="R207" i="6"/>
  <c r="E207" i="6"/>
  <c r="R206" i="6"/>
  <c r="R205" i="6"/>
  <c r="E205" i="6"/>
  <c r="R204" i="6"/>
  <c r="E204" i="6"/>
  <c r="R203" i="6"/>
  <c r="E203" i="6"/>
  <c r="R202" i="6"/>
  <c r="E202" i="6"/>
  <c r="R201" i="6"/>
  <c r="E201" i="6"/>
  <c r="R200" i="6"/>
  <c r="E200" i="6"/>
  <c r="R199" i="6"/>
  <c r="R198" i="6"/>
  <c r="R197" i="6"/>
  <c r="E197" i="6"/>
  <c r="R196" i="6"/>
  <c r="E196" i="6"/>
  <c r="R193" i="6"/>
  <c r="R192" i="6"/>
  <c r="E192" i="6"/>
  <c r="R191" i="6"/>
  <c r="E191" i="6"/>
  <c r="R190" i="6"/>
  <c r="E190" i="6"/>
  <c r="R189" i="6"/>
  <c r="R188" i="6"/>
  <c r="E188" i="6"/>
  <c r="R187" i="6"/>
  <c r="E187" i="6"/>
  <c r="R186" i="6"/>
  <c r="E186" i="6"/>
  <c r="R185" i="6"/>
  <c r="R184" i="6"/>
  <c r="E184" i="6"/>
  <c r="R183" i="6"/>
  <c r="E183" i="6"/>
  <c r="R182" i="6"/>
  <c r="E182" i="6"/>
  <c r="R181" i="6"/>
  <c r="R180" i="6"/>
  <c r="E180" i="6"/>
  <c r="R179" i="6"/>
  <c r="E179" i="6"/>
  <c r="R178" i="6"/>
  <c r="E178" i="6"/>
  <c r="R177" i="6"/>
  <c r="R176" i="6"/>
  <c r="E176" i="6"/>
  <c r="R175" i="6"/>
  <c r="E175" i="6"/>
  <c r="R174" i="6"/>
  <c r="R173" i="6"/>
  <c r="E173" i="6"/>
  <c r="R172" i="6"/>
  <c r="E172" i="6"/>
  <c r="R171" i="6"/>
  <c r="E171" i="6"/>
  <c r="R170" i="6"/>
  <c r="E170" i="6"/>
  <c r="R169" i="6"/>
  <c r="E169" i="6"/>
  <c r="R168" i="6"/>
  <c r="E168" i="6"/>
  <c r="R167" i="6"/>
  <c r="E167" i="6"/>
  <c r="R166" i="6"/>
  <c r="E166" i="6"/>
  <c r="R165" i="6"/>
  <c r="E165" i="6"/>
  <c r="R164" i="6"/>
  <c r="E164" i="6"/>
  <c r="R163" i="6"/>
  <c r="E163" i="6"/>
  <c r="R162" i="6"/>
  <c r="E162" i="6"/>
  <c r="R161" i="6"/>
  <c r="E161" i="6"/>
  <c r="R160" i="6"/>
  <c r="E160" i="6"/>
  <c r="R159" i="6"/>
  <c r="E159" i="6"/>
  <c r="R158" i="6"/>
  <c r="E158" i="6"/>
  <c r="R157" i="6"/>
  <c r="E157" i="6"/>
  <c r="R156" i="6"/>
  <c r="E156" i="6"/>
  <c r="R155" i="6"/>
  <c r="E155" i="6"/>
  <c r="R154" i="6"/>
  <c r="E154" i="6"/>
  <c r="R151" i="6"/>
  <c r="E151" i="6"/>
  <c r="R150" i="6"/>
  <c r="R149" i="6"/>
  <c r="R148" i="6"/>
  <c r="E148" i="6"/>
  <c r="R147" i="6"/>
  <c r="E147" i="6"/>
  <c r="R146" i="6"/>
  <c r="E146" i="6"/>
  <c r="R145" i="6"/>
  <c r="E145" i="6"/>
  <c r="R144" i="6"/>
  <c r="E144" i="6"/>
  <c r="R143" i="6"/>
  <c r="E143" i="6"/>
  <c r="R142" i="6"/>
  <c r="E142" i="6"/>
  <c r="R141" i="6"/>
  <c r="E141" i="6"/>
  <c r="R140" i="6"/>
  <c r="R139" i="6"/>
  <c r="R138" i="6"/>
  <c r="R137" i="6"/>
  <c r="R134" i="6"/>
  <c r="R133" i="6"/>
  <c r="R132" i="6"/>
  <c r="R131" i="6"/>
  <c r="R130" i="6"/>
  <c r="R129" i="6"/>
  <c r="R128" i="6"/>
  <c r="E128" i="6"/>
  <c r="R127" i="6"/>
  <c r="E127" i="6"/>
  <c r="R126" i="6"/>
  <c r="R125" i="6"/>
  <c r="E125" i="6"/>
  <c r="R124" i="6"/>
  <c r="E124" i="6"/>
  <c r="R123" i="6"/>
  <c r="E123" i="6"/>
  <c r="R122" i="6"/>
  <c r="R121" i="6"/>
  <c r="R120" i="6"/>
  <c r="R119" i="6"/>
  <c r="E119" i="6"/>
  <c r="R118" i="6"/>
  <c r="R117" i="6"/>
  <c r="E117" i="6"/>
  <c r="R116" i="6"/>
  <c r="E116" i="6"/>
  <c r="R115" i="6"/>
  <c r="E115" i="6"/>
  <c r="R114" i="6"/>
  <c r="R113" i="6"/>
  <c r="R112" i="6"/>
  <c r="R111" i="6"/>
  <c r="R110" i="6"/>
  <c r="R109" i="6"/>
  <c r="E109" i="6"/>
  <c r="R108" i="6"/>
  <c r="E108" i="6"/>
  <c r="R107" i="6"/>
  <c r="E107" i="6"/>
  <c r="R106" i="6"/>
  <c r="R105" i="6"/>
  <c r="E105" i="6"/>
  <c r="R104" i="6"/>
  <c r="R103" i="6"/>
  <c r="E103" i="6"/>
  <c r="R102" i="6"/>
  <c r="R101" i="6"/>
  <c r="E101" i="6"/>
  <c r="R100" i="6"/>
  <c r="R99" i="6"/>
  <c r="R96" i="6"/>
  <c r="E96" i="6"/>
  <c r="R95" i="6"/>
  <c r="E95" i="6"/>
  <c r="R94" i="6"/>
  <c r="R93" i="6"/>
  <c r="E93" i="6"/>
  <c r="R92" i="6"/>
  <c r="E92" i="6"/>
  <c r="R91" i="6"/>
  <c r="E91" i="6"/>
  <c r="R90" i="6"/>
  <c r="R89" i="6"/>
  <c r="E89" i="6"/>
  <c r="R88" i="6"/>
  <c r="E88" i="6"/>
  <c r="R87" i="6"/>
  <c r="E87" i="6"/>
  <c r="R86" i="6"/>
  <c r="R85" i="6"/>
  <c r="E85" i="6"/>
  <c r="R84" i="6"/>
  <c r="E84" i="6"/>
  <c r="R83" i="6"/>
  <c r="E83" i="6"/>
  <c r="R82" i="6"/>
  <c r="R81" i="6"/>
  <c r="E81" i="6"/>
  <c r="R80" i="6"/>
  <c r="E80" i="6"/>
  <c r="R79" i="6"/>
  <c r="E79" i="6"/>
  <c r="R78" i="6"/>
  <c r="R77" i="6"/>
  <c r="E77" i="6"/>
  <c r="R76" i="6"/>
  <c r="E76" i="6"/>
  <c r="R75" i="6"/>
  <c r="E75" i="6"/>
  <c r="R74" i="6"/>
  <c r="R73" i="6"/>
  <c r="E73" i="6"/>
  <c r="R72" i="6"/>
  <c r="E72" i="6"/>
  <c r="R71" i="6"/>
  <c r="E71" i="6"/>
  <c r="R70" i="6"/>
  <c r="R69" i="6"/>
  <c r="E69" i="6"/>
  <c r="R68" i="6"/>
  <c r="E68" i="6"/>
  <c r="R67" i="6"/>
  <c r="E67" i="6"/>
  <c r="R66" i="6"/>
  <c r="R65" i="6"/>
  <c r="E65" i="6"/>
  <c r="R64" i="6"/>
  <c r="E64" i="6"/>
  <c r="R63" i="6"/>
  <c r="E63" i="6"/>
  <c r="R62" i="6"/>
  <c r="E62" i="6"/>
  <c r="R61" i="6"/>
  <c r="E61" i="6"/>
  <c r="R60" i="6"/>
  <c r="E60" i="6"/>
  <c r="R59" i="6"/>
  <c r="E59" i="6"/>
  <c r="R56" i="6"/>
  <c r="E56" i="6"/>
  <c r="R55" i="6"/>
  <c r="E55" i="6"/>
  <c r="R54" i="6"/>
  <c r="E54" i="6"/>
  <c r="R53" i="6"/>
  <c r="E53" i="6"/>
  <c r="R52" i="6"/>
  <c r="E52" i="6"/>
  <c r="R51" i="6"/>
  <c r="E51" i="6"/>
  <c r="R50" i="6"/>
  <c r="E50" i="6"/>
  <c r="R49" i="6"/>
  <c r="E49" i="6"/>
  <c r="R48" i="6"/>
  <c r="R47" i="6"/>
  <c r="R46" i="6"/>
  <c r="E46" i="6"/>
  <c r="R45" i="6"/>
  <c r="E45" i="6"/>
  <c r="R44" i="6"/>
  <c r="E44" i="6"/>
  <c r="R43" i="6"/>
  <c r="E43" i="6"/>
  <c r="R42" i="6"/>
  <c r="E42" i="6"/>
  <c r="R41" i="6"/>
  <c r="E41" i="6"/>
  <c r="R40" i="6"/>
  <c r="E40" i="6"/>
  <c r="R39" i="6"/>
  <c r="E39" i="6"/>
  <c r="R38" i="6"/>
  <c r="R37" i="6"/>
  <c r="R36" i="6"/>
  <c r="R35" i="6"/>
  <c r="R34" i="6"/>
  <c r="E34" i="6"/>
  <c r="R33" i="6"/>
  <c r="R32" i="6"/>
  <c r="R31" i="6"/>
  <c r="R30" i="6"/>
  <c r="E30" i="6"/>
  <c r="R29" i="6"/>
  <c r="E29" i="6"/>
  <c r="R28" i="6"/>
  <c r="R27" i="6"/>
  <c r="E27" i="6"/>
  <c r="R26" i="6"/>
  <c r="E26" i="6"/>
  <c r="R23" i="6"/>
  <c r="E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D244" i="5" l="1"/>
  <c r="D245" i="5"/>
  <c r="D246" i="5"/>
  <c r="D247" i="5"/>
  <c r="D248" i="5"/>
  <c r="D249" i="5"/>
  <c r="D250" i="5"/>
  <c r="D251" i="5"/>
  <c r="D252" i="5"/>
  <c r="D253" i="5"/>
  <c r="D254" i="5"/>
  <c r="D255" i="5"/>
  <c r="E255" i="5" s="1"/>
  <c r="D255" i="6" s="1"/>
  <c r="E255" i="6" s="1"/>
  <c r="D256" i="5"/>
  <c r="D257" i="5"/>
  <c r="D258" i="5"/>
  <c r="D259" i="5"/>
  <c r="E259" i="5" s="1"/>
  <c r="D260" i="5"/>
  <c r="D261" i="5"/>
  <c r="D262" i="5"/>
  <c r="D263" i="5"/>
  <c r="E263" i="5" s="1"/>
  <c r="D264" i="5"/>
  <c r="D196" i="5"/>
  <c r="D197" i="5"/>
  <c r="D198" i="5"/>
  <c r="D199" i="5"/>
  <c r="D200" i="5"/>
  <c r="D201" i="5"/>
  <c r="D202" i="5"/>
  <c r="D203" i="5"/>
  <c r="D204" i="5"/>
  <c r="D205" i="5"/>
  <c r="D207" i="5"/>
  <c r="D208" i="5"/>
  <c r="D209" i="5"/>
  <c r="D210" i="5"/>
  <c r="D211" i="5"/>
  <c r="D212" i="5"/>
  <c r="D213" i="5"/>
  <c r="D215" i="5"/>
  <c r="D216" i="5"/>
  <c r="D217" i="5"/>
  <c r="D218" i="5"/>
  <c r="D219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6" i="5"/>
  <c r="D10" i="5"/>
  <c r="D11" i="5"/>
  <c r="D12" i="5"/>
  <c r="D13" i="5"/>
  <c r="D14" i="5"/>
  <c r="E14" i="5" s="1"/>
  <c r="D14" i="6" s="1"/>
  <c r="E14" i="6" s="1"/>
  <c r="D15" i="5"/>
  <c r="D16" i="5"/>
  <c r="D17" i="5"/>
  <c r="D18" i="5"/>
  <c r="E18" i="5" s="1"/>
  <c r="D18" i="6" s="1"/>
  <c r="E18" i="6" s="1"/>
  <c r="D19" i="5"/>
  <c r="D20" i="5"/>
  <c r="D21" i="5"/>
  <c r="D22" i="5"/>
  <c r="E22" i="5" s="1"/>
  <c r="D22" i="6" s="1"/>
  <c r="E22" i="6" s="1"/>
  <c r="D23" i="5"/>
  <c r="R264" i="5"/>
  <c r="E264" i="5"/>
  <c r="R263" i="5"/>
  <c r="R262" i="5"/>
  <c r="E262" i="5"/>
  <c r="R261" i="5"/>
  <c r="E261" i="5"/>
  <c r="R260" i="5"/>
  <c r="E260" i="5"/>
  <c r="R259" i="5"/>
  <c r="R258" i="5"/>
  <c r="E258" i="5"/>
  <c r="D258" i="6" s="1"/>
  <c r="E258" i="6" s="1"/>
  <c r="R257" i="5"/>
  <c r="E257" i="5"/>
  <c r="D257" i="6" s="1"/>
  <c r="E257" i="6" s="1"/>
  <c r="R256" i="5"/>
  <c r="E256" i="5"/>
  <c r="D256" i="6" s="1"/>
  <c r="E256" i="6" s="1"/>
  <c r="R255" i="5"/>
  <c r="R254" i="5"/>
  <c r="E254" i="5"/>
  <c r="D254" i="6" s="1"/>
  <c r="E254" i="6" s="1"/>
  <c r="R253" i="5"/>
  <c r="E253" i="5"/>
  <c r="D253" i="6" s="1"/>
  <c r="E253" i="6" s="1"/>
  <c r="R252" i="5"/>
  <c r="E252" i="5"/>
  <c r="D252" i="6" s="1"/>
  <c r="E252" i="6" s="1"/>
  <c r="R251" i="5"/>
  <c r="E251" i="5"/>
  <c r="D251" i="6" s="1"/>
  <c r="E251" i="6" s="1"/>
  <c r="R250" i="5"/>
  <c r="E250" i="5"/>
  <c r="D250" i="6" s="1"/>
  <c r="E250" i="6" s="1"/>
  <c r="R249" i="5"/>
  <c r="E249" i="5"/>
  <c r="R248" i="5"/>
  <c r="E248" i="5"/>
  <c r="R247" i="5"/>
  <c r="E247" i="5"/>
  <c r="R246" i="5"/>
  <c r="E246" i="5"/>
  <c r="R245" i="5"/>
  <c r="E245" i="5"/>
  <c r="R244" i="5"/>
  <c r="E244" i="5"/>
  <c r="R241" i="5"/>
  <c r="E241" i="5"/>
  <c r="R240" i="5"/>
  <c r="E240" i="5"/>
  <c r="R239" i="5"/>
  <c r="E239" i="5"/>
  <c r="R238" i="5"/>
  <c r="E238" i="5"/>
  <c r="R237" i="5"/>
  <c r="E237" i="5"/>
  <c r="R236" i="5"/>
  <c r="E236" i="5"/>
  <c r="R235" i="5"/>
  <c r="E235" i="5"/>
  <c r="R234" i="5"/>
  <c r="E234" i="5"/>
  <c r="R233" i="5"/>
  <c r="E233" i="5"/>
  <c r="R232" i="5"/>
  <c r="E232" i="5"/>
  <c r="R231" i="5"/>
  <c r="E231" i="5"/>
  <c r="R230" i="5"/>
  <c r="E230" i="5"/>
  <c r="R229" i="5"/>
  <c r="E229" i="5"/>
  <c r="R228" i="5"/>
  <c r="E228" i="5"/>
  <c r="R227" i="5"/>
  <c r="E227" i="5"/>
  <c r="R226" i="5"/>
  <c r="E226" i="5"/>
  <c r="D226" i="6" s="1"/>
  <c r="E226" i="6" s="1"/>
  <c r="R225" i="5"/>
  <c r="E225" i="5"/>
  <c r="D225" i="6" s="1"/>
  <c r="E225" i="6" s="1"/>
  <c r="R224" i="5"/>
  <c r="E224" i="5"/>
  <c r="D224" i="6" s="1"/>
  <c r="E224" i="6" s="1"/>
  <c r="R223" i="5"/>
  <c r="E223" i="5"/>
  <c r="R222" i="5"/>
  <c r="E222" i="5"/>
  <c r="R221" i="5"/>
  <c r="E221" i="5"/>
  <c r="R220" i="5"/>
  <c r="R219" i="5"/>
  <c r="E219" i="5"/>
  <c r="R218" i="5"/>
  <c r="E218" i="5"/>
  <c r="R217" i="5"/>
  <c r="E217" i="5"/>
  <c r="R216" i="5"/>
  <c r="E216" i="5"/>
  <c r="R215" i="5"/>
  <c r="E215" i="5"/>
  <c r="R214" i="5"/>
  <c r="R213" i="5"/>
  <c r="E213" i="5"/>
  <c r="R212" i="5"/>
  <c r="E212" i="5"/>
  <c r="D212" i="6" s="1"/>
  <c r="E212" i="6" s="1"/>
  <c r="R211" i="5"/>
  <c r="E211" i="5"/>
  <c r="R210" i="5"/>
  <c r="E210" i="5"/>
  <c r="R209" i="5"/>
  <c r="E209" i="5"/>
  <c r="R208" i="5"/>
  <c r="E208" i="5"/>
  <c r="D208" i="6" s="1"/>
  <c r="E208" i="6" s="1"/>
  <c r="R207" i="5"/>
  <c r="E207" i="5"/>
  <c r="R206" i="5"/>
  <c r="R205" i="5"/>
  <c r="E205" i="5"/>
  <c r="R204" i="5"/>
  <c r="E204" i="5"/>
  <c r="R203" i="5"/>
  <c r="E203" i="5"/>
  <c r="R202" i="5"/>
  <c r="E202" i="5"/>
  <c r="R201" i="5"/>
  <c r="E201" i="5"/>
  <c r="R200" i="5"/>
  <c r="E200" i="5"/>
  <c r="R199" i="5"/>
  <c r="E199" i="5"/>
  <c r="D199" i="6" s="1"/>
  <c r="E199" i="6" s="1"/>
  <c r="R198" i="5"/>
  <c r="E198" i="5"/>
  <c r="D198" i="6" s="1"/>
  <c r="E198" i="6" s="1"/>
  <c r="R197" i="5"/>
  <c r="E197" i="5"/>
  <c r="R196" i="5"/>
  <c r="E196" i="5"/>
  <c r="R193" i="5"/>
  <c r="E193" i="5"/>
  <c r="R192" i="5"/>
  <c r="E192" i="5"/>
  <c r="R191" i="5"/>
  <c r="E191" i="5"/>
  <c r="R190" i="5"/>
  <c r="E190" i="5"/>
  <c r="R189" i="5"/>
  <c r="E189" i="5"/>
  <c r="R188" i="5"/>
  <c r="E188" i="5"/>
  <c r="R187" i="5"/>
  <c r="E187" i="5"/>
  <c r="R186" i="5"/>
  <c r="E186" i="5"/>
  <c r="R185" i="5"/>
  <c r="E185" i="5"/>
  <c r="R184" i="5"/>
  <c r="E184" i="5"/>
  <c r="R183" i="5"/>
  <c r="E183" i="5"/>
  <c r="R182" i="5"/>
  <c r="E182" i="5"/>
  <c r="R181" i="5"/>
  <c r="E181" i="5"/>
  <c r="R180" i="5"/>
  <c r="E180" i="5"/>
  <c r="R179" i="5"/>
  <c r="E179" i="5"/>
  <c r="R178" i="5"/>
  <c r="E178" i="5"/>
  <c r="R177" i="5"/>
  <c r="E177" i="5"/>
  <c r="D177" i="6" s="1"/>
  <c r="E177" i="6" s="1"/>
  <c r="R176" i="5"/>
  <c r="E176" i="5"/>
  <c r="R175" i="5"/>
  <c r="E175" i="5"/>
  <c r="R174" i="5"/>
  <c r="E174" i="5"/>
  <c r="D174" i="6" s="1"/>
  <c r="E174" i="6" s="1"/>
  <c r="R173" i="5"/>
  <c r="E173" i="5"/>
  <c r="R172" i="5"/>
  <c r="E172" i="5"/>
  <c r="R171" i="5"/>
  <c r="E171" i="5"/>
  <c r="R170" i="5"/>
  <c r="E170" i="5"/>
  <c r="R169" i="5"/>
  <c r="E169" i="5"/>
  <c r="R168" i="5"/>
  <c r="E168" i="5"/>
  <c r="R167" i="5"/>
  <c r="E167" i="5"/>
  <c r="R166" i="5"/>
  <c r="E166" i="5"/>
  <c r="R165" i="5"/>
  <c r="E165" i="5"/>
  <c r="R164" i="5"/>
  <c r="E164" i="5"/>
  <c r="R163" i="5"/>
  <c r="E163" i="5"/>
  <c r="R162" i="5"/>
  <c r="E162" i="5"/>
  <c r="R161" i="5"/>
  <c r="E161" i="5"/>
  <c r="R160" i="5"/>
  <c r="E160" i="5"/>
  <c r="R159" i="5"/>
  <c r="E159" i="5"/>
  <c r="R158" i="5"/>
  <c r="E158" i="5"/>
  <c r="R157" i="5"/>
  <c r="E157" i="5"/>
  <c r="R156" i="5"/>
  <c r="E156" i="5"/>
  <c r="R155" i="5"/>
  <c r="E155" i="5"/>
  <c r="R154" i="5"/>
  <c r="E154" i="5"/>
  <c r="R151" i="5"/>
  <c r="E151" i="5"/>
  <c r="R150" i="5"/>
  <c r="E150" i="5"/>
  <c r="D150" i="6" s="1"/>
  <c r="E150" i="6" s="1"/>
  <c r="R149" i="5"/>
  <c r="E149" i="5"/>
  <c r="D149" i="6" s="1"/>
  <c r="E149" i="6" s="1"/>
  <c r="R148" i="5"/>
  <c r="E148" i="5"/>
  <c r="R147" i="5"/>
  <c r="E147" i="5"/>
  <c r="R146" i="5"/>
  <c r="E146" i="5"/>
  <c r="R145" i="5"/>
  <c r="E145" i="5"/>
  <c r="R144" i="5"/>
  <c r="E144" i="5"/>
  <c r="R143" i="5"/>
  <c r="E143" i="5"/>
  <c r="R142" i="5"/>
  <c r="E142" i="5"/>
  <c r="R141" i="5"/>
  <c r="E141" i="5"/>
  <c r="R140" i="5"/>
  <c r="E140" i="5"/>
  <c r="D140" i="6" s="1"/>
  <c r="E140" i="6" s="1"/>
  <c r="R139" i="5"/>
  <c r="E139" i="5"/>
  <c r="D139" i="6" s="1"/>
  <c r="E139" i="6" s="1"/>
  <c r="R138" i="5"/>
  <c r="E138" i="5"/>
  <c r="D138" i="6" s="1"/>
  <c r="E138" i="6" s="1"/>
  <c r="R137" i="5"/>
  <c r="E137" i="5"/>
  <c r="D137" i="6" s="1"/>
  <c r="E137" i="6" s="1"/>
  <c r="R134" i="5"/>
  <c r="E134" i="5"/>
  <c r="D134" i="6" s="1"/>
  <c r="E134" i="6" s="1"/>
  <c r="R133" i="5"/>
  <c r="E133" i="5"/>
  <c r="D133" i="6" s="1"/>
  <c r="E133" i="6" s="1"/>
  <c r="R132" i="5"/>
  <c r="E132" i="5"/>
  <c r="D132" i="6" s="1"/>
  <c r="E132" i="6" s="1"/>
  <c r="R131" i="5"/>
  <c r="E131" i="5"/>
  <c r="D131" i="6" s="1"/>
  <c r="E131" i="6" s="1"/>
  <c r="R130" i="5"/>
  <c r="E130" i="5"/>
  <c r="D130" i="6" s="1"/>
  <c r="E130" i="6" s="1"/>
  <c r="R129" i="5"/>
  <c r="E129" i="5"/>
  <c r="D129" i="6" s="1"/>
  <c r="E129" i="6" s="1"/>
  <c r="R128" i="5"/>
  <c r="E128" i="5"/>
  <c r="R127" i="5"/>
  <c r="E127" i="5"/>
  <c r="R126" i="5"/>
  <c r="E126" i="5"/>
  <c r="R125" i="5"/>
  <c r="E125" i="5"/>
  <c r="R124" i="5"/>
  <c r="E124" i="5"/>
  <c r="R123" i="5"/>
  <c r="E123" i="5"/>
  <c r="R122" i="5"/>
  <c r="E122" i="5"/>
  <c r="D122" i="6" s="1"/>
  <c r="E122" i="6" s="1"/>
  <c r="R121" i="5"/>
  <c r="E121" i="5"/>
  <c r="D121" i="6" s="1"/>
  <c r="E121" i="6" s="1"/>
  <c r="R120" i="5"/>
  <c r="E120" i="5"/>
  <c r="D120" i="6" s="1"/>
  <c r="E120" i="6" s="1"/>
  <c r="R119" i="5"/>
  <c r="E119" i="5"/>
  <c r="R118" i="5"/>
  <c r="E118" i="5"/>
  <c r="R117" i="5"/>
  <c r="E117" i="5"/>
  <c r="R116" i="5"/>
  <c r="E116" i="5"/>
  <c r="R115" i="5"/>
  <c r="E115" i="5"/>
  <c r="R114" i="5"/>
  <c r="E114" i="5"/>
  <c r="D114" i="6" s="1"/>
  <c r="E114" i="6" s="1"/>
  <c r="R113" i="5"/>
  <c r="E113" i="5"/>
  <c r="D113" i="6" s="1"/>
  <c r="E113" i="6" s="1"/>
  <c r="R112" i="5"/>
  <c r="E112" i="5"/>
  <c r="D112" i="6" s="1"/>
  <c r="E112" i="6" s="1"/>
  <c r="R111" i="5"/>
  <c r="E111" i="5"/>
  <c r="D111" i="6" s="1"/>
  <c r="E111" i="6" s="1"/>
  <c r="R110" i="5"/>
  <c r="E110" i="5"/>
  <c r="R109" i="5"/>
  <c r="E109" i="5"/>
  <c r="R108" i="5"/>
  <c r="E108" i="5"/>
  <c r="R107" i="5"/>
  <c r="E107" i="5"/>
  <c r="R106" i="5"/>
  <c r="E106" i="5"/>
  <c r="R105" i="5"/>
  <c r="E105" i="5"/>
  <c r="R104" i="5"/>
  <c r="E104" i="5"/>
  <c r="D104" i="6" s="1"/>
  <c r="E104" i="6" s="1"/>
  <c r="R103" i="5"/>
  <c r="E103" i="5"/>
  <c r="R102" i="5"/>
  <c r="E102" i="5"/>
  <c r="R101" i="5"/>
  <c r="E101" i="5"/>
  <c r="R100" i="5"/>
  <c r="E100" i="5"/>
  <c r="D100" i="6" s="1"/>
  <c r="E100" i="6" s="1"/>
  <c r="R99" i="5"/>
  <c r="E99" i="5"/>
  <c r="D99" i="6" s="1"/>
  <c r="E99" i="6" s="1"/>
  <c r="R96" i="5"/>
  <c r="E96" i="5"/>
  <c r="R95" i="5"/>
  <c r="E95" i="5"/>
  <c r="R94" i="5"/>
  <c r="E94" i="5"/>
  <c r="R93" i="5"/>
  <c r="E93" i="5"/>
  <c r="R92" i="5"/>
  <c r="E92" i="5"/>
  <c r="R91" i="5"/>
  <c r="E91" i="5"/>
  <c r="R90" i="5"/>
  <c r="E90" i="5"/>
  <c r="R89" i="5"/>
  <c r="E89" i="5"/>
  <c r="R88" i="5"/>
  <c r="E88" i="5"/>
  <c r="R87" i="5"/>
  <c r="E87" i="5"/>
  <c r="R86" i="5"/>
  <c r="E86" i="5"/>
  <c r="R85" i="5"/>
  <c r="E85" i="5"/>
  <c r="R84" i="5"/>
  <c r="E84" i="5"/>
  <c r="R83" i="5"/>
  <c r="E83" i="5"/>
  <c r="R82" i="5"/>
  <c r="E82" i="5"/>
  <c r="R81" i="5"/>
  <c r="E81" i="5"/>
  <c r="R80" i="5"/>
  <c r="E80" i="5"/>
  <c r="R79" i="5"/>
  <c r="E79" i="5"/>
  <c r="R78" i="5"/>
  <c r="E78" i="5"/>
  <c r="R77" i="5"/>
  <c r="E77" i="5"/>
  <c r="R76" i="5"/>
  <c r="E76" i="5"/>
  <c r="R75" i="5"/>
  <c r="E75" i="5"/>
  <c r="R74" i="5"/>
  <c r="E74" i="5"/>
  <c r="R73" i="5"/>
  <c r="E73" i="5"/>
  <c r="R72" i="5"/>
  <c r="E72" i="5"/>
  <c r="R71" i="5"/>
  <c r="E71" i="5"/>
  <c r="R70" i="5"/>
  <c r="E70" i="5"/>
  <c r="R69" i="5"/>
  <c r="E69" i="5"/>
  <c r="R68" i="5"/>
  <c r="E68" i="5"/>
  <c r="R67" i="5"/>
  <c r="E67" i="5"/>
  <c r="R66" i="5"/>
  <c r="E66" i="5"/>
  <c r="R65" i="5"/>
  <c r="E65" i="5"/>
  <c r="R64" i="5"/>
  <c r="E64" i="5"/>
  <c r="R63" i="5"/>
  <c r="E63" i="5"/>
  <c r="R62" i="5"/>
  <c r="E62" i="5"/>
  <c r="R61" i="5"/>
  <c r="E61" i="5"/>
  <c r="R60" i="5"/>
  <c r="E60" i="5"/>
  <c r="R59" i="5"/>
  <c r="E59" i="5"/>
  <c r="R56" i="5"/>
  <c r="E56" i="5"/>
  <c r="R55" i="5"/>
  <c r="R54" i="5"/>
  <c r="R53" i="5"/>
  <c r="R52" i="5"/>
  <c r="E52" i="5"/>
  <c r="R51" i="5"/>
  <c r="E51" i="5"/>
  <c r="R50" i="5"/>
  <c r="E50" i="5"/>
  <c r="R49" i="5"/>
  <c r="E49" i="5"/>
  <c r="R48" i="5"/>
  <c r="E48" i="5"/>
  <c r="D48" i="6" s="1"/>
  <c r="E48" i="6" s="1"/>
  <c r="R47" i="5"/>
  <c r="E47" i="5"/>
  <c r="D47" i="6" s="1"/>
  <c r="E47" i="6" s="1"/>
  <c r="R46" i="5"/>
  <c r="E46" i="5"/>
  <c r="R45" i="5"/>
  <c r="E45" i="5"/>
  <c r="R44" i="5"/>
  <c r="E44" i="5"/>
  <c r="R43" i="5"/>
  <c r="E43" i="5"/>
  <c r="R42" i="5"/>
  <c r="E42" i="5"/>
  <c r="R41" i="5"/>
  <c r="E41" i="5"/>
  <c r="R40" i="5"/>
  <c r="E40" i="5"/>
  <c r="R39" i="5"/>
  <c r="E39" i="5"/>
  <c r="R38" i="5"/>
  <c r="E38" i="5"/>
  <c r="D38" i="6" s="1"/>
  <c r="E38" i="6" s="1"/>
  <c r="R37" i="5"/>
  <c r="E37" i="5"/>
  <c r="D37" i="6" s="1"/>
  <c r="E37" i="6" s="1"/>
  <c r="R36" i="5"/>
  <c r="E36" i="5"/>
  <c r="D36" i="6" s="1"/>
  <c r="E36" i="6" s="1"/>
  <c r="R35" i="5"/>
  <c r="E35" i="5"/>
  <c r="D35" i="6" s="1"/>
  <c r="E35" i="6" s="1"/>
  <c r="R34" i="5"/>
  <c r="E34" i="5"/>
  <c r="R33" i="5"/>
  <c r="E33" i="5"/>
  <c r="D33" i="6" s="1"/>
  <c r="E33" i="6" s="1"/>
  <c r="R32" i="5"/>
  <c r="E32" i="5"/>
  <c r="D32" i="6" s="1"/>
  <c r="E32" i="6" s="1"/>
  <c r="R31" i="5"/>
  <c r="E31" i="5"/>
  <c r="D31" i="6" s="1"/>
  <c r="E31" i="6" s="1"/>
  <c r="R30" i="5"/>
  <c r="E30" i="5"/>
  <c r="R29" i="5"/>
  <c r="E29" i="5"/>
  <c r="R28" i="5"/>
  <c r="E28" i="5"/>
  <c r="D28" i="6" s="1"/>
  <c r="E28" i="6" s="1"/>
  <c r="R27" i="5"/>
  <c r="E27" i="5"/>
  <c r="R26" i="5"/>
  <c r="E26" i="5"/>
  <c r="R23" i="5"/>
  <c r="E23" i="5"/>
  <c r="R22" i="5"/>
  <c r="R21" i="5"/>
  <c r="E21" i="5"/>
  <c r="R20" i="5"/>
  <c r="E20" i="5"/>
  <c r="D20" i="6" s="1"/>
  <c r="E20" i="6" s="1"/>
  <c r="R19" i="5"/>
  <c r="E19" i="5"/>
  <c r="D19" i="6" s="1"/>
  <c r="E19" i="6" s="1"/>
  <c r="R18" i="5"/>
  <c r="R17" i="5"/>
  <c r="E17" i="5"/>
  <c r="D17" i="6" s="1"/>
  <c r="E17" i="6" s="1"/>
  <c r="R16" i="5"/>
  <c r="E16" i="5"/>
  <c r="D16" i="6" s="1"/>
  <c r="E16" i="6" s="1"/>
  <c r="R15" i="5"/>
  <c r="E15" i="5"/>
  <c r="D15" i="6" s="1"/>
  <c r="E15" i="6" s="1"/>
  <c r="R14" i="5"/>
  <c r="R13" i="5"/>
  <c r="E13" i="5"/>
  <c r="D13" i="6" s="1"/>
  <c r="E13" i="6" s="1"/>
  <c r="R12" i="5"/>
  <c r="E12" i="5"/>
  <c r="D12" i="6" s="1"/>
  <c r="E12" i="6" s="1"/>
  <c r="R11" i="5"/>
  <c r="E11" i="5"/>
  <c r="D11" i="6" s="1"/>
  <c r="E11" i="6" s="1"/>
  <c r="R10" i="5"/>
  <c r="E10" i="5"/>
  <c r="D244" i="4" l="1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E169" i="4" s="1"/>
  <c r="D170" i="4"/>
  <c r="D171" i="4"/>
  <c r="D172" i="4"/>
  <c r="D173" i="4"/>
  <c r="E173" i="4" s="1"/>
  <c r="D174" i="4"/>
  <c r="D175" i="4"/>
  <c r="D176" i="4"/>
  <c r="D177" i="4"/>
  <c r="E177" i="4" s="1"/>
  <c r="D178" i="4"/>
  <c r="D179" i="4"/>
  <c r="D180" i="4"/>
  <c r="D181" i="4"/>
  <c r="E181" i="4" s="1"/>
  <c r="D182" i="4"/>
  <c r="D183" i="4"/>
  <c r="D184" i="4"/>
  <c r="D185" i="4"/>
  <c r="E185" i="4" s="1"/>
  <c r="D186" i="4"/>
  <c r="D187" i="4"/>
  <c r="D188" i="4"/>
  <c r="D189" i="4"/>
  <c r="E189" i="4" s="1"/>
  <c r="D190" i="4"/>
  <c r="D191" i="4"/>
  <c r="D192" i="4"/>
  <c r="D193" i="4"/>
  <c r="E193" i="4" s="1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26" i="4"/>
  <c r="D27" i="4"/>
  <c r="D29" i="4"/>
  <c r="D30" i="4"/>
  <c r="D31" i="4"/>
  <c r="D32" i="4"/>
  <c r="D33" i="4"/>
  <c r="D34" i="4"/>
  <c r="D38" i="4"/>
  <c r="D39" i="4"/>
  <c r="D40" i="4"/>
  <c r="D41" i="4"/>
  <c r="D42" i="4"/>
  <c r="D43" i="4"/>
  <c r="D44" i="4"/>
  <c r="D45" i="4"/>
  <c r="D46" i="4"/>
  <c r="D49" i="4"/>
  <c r="D50" i="4"/>
  <c r="D51" i="4"/>
  <c r="D52" i="4"/>
  <c r="D56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R264" i="4"/>
  <c r="E264" i="4"/>
  <c r="R263" i="4"/>
  <c r="E263" i="4"/>
  <c r="R262" i="4"/>
  <c r="E262" i="4"/>
  <c r="R261" i="4"/>
  <c r="E261" i="4"/>
  <c r="R260" i="4"/>
  <c r="E260" i="4"/>
  <c r="R259" i="4"/>
  <c r="E259" i="4"/>
  <c r="R258" i="4"/>
  <c r="E258" i="4"/>
  <c r="R257" i="4"/>
  <c r="E257" i="4"/>
  <c r="R256" i="4"/>
  <c r="E256" i="4"/>
  <c r="R255" i="4"/>
  <c r="E255" i="4"/>
  <c r="R254" i="4"/>
  <c r="E254" i="4"/>
  <c r="R253" i="4"/>
  <c r="E253" i="4"/>
  <c r="R252" i="4"/>
  <c r="E252" i="4"/>
  <c r="R251" i="4"/>
  <c r="E251" i="4"/>
  <c r="R250" i="4"/>
  <c r="E250" i="4"/>
  <c r="R249" i="4"/>
  <c r="E249" i="4"/>
  <c r="R248" i="4"/>
  <c r="E248" i="4"/>
  <c r="R247" i="4"/>
  <c r="E247" i="4"/>
  <c r="R246" i="4"/>
  <c r="E246" i="4"/>
  <c r="R245" i="4"/>
  <c r="E245" i="4"/>
  <c r="R244" i="4"/>
  <c r="E244" i="4"/>
  <c r="R241" i="4"/>
  <c r="E241" i="4"/>
  <c r="R240" i="4"/>
  <c r="E240" i="4"/>
  <c r="R239" i="4"/>
  <c r="E239" i="4"/>
  <c r="R238" i="4"/>
  <c r="E238" i="4"/>
  <c r="R237" i="4"/>
  <c r="E237" i="4"/>
  <c r="R236" i="4"/>
  <c r="E236" i="4"/>
  <c r="R235" i="4"/>
  <c r="E235" i="4"/>
  <c r="R234" i="4"/>
  <c r="E234" i="4"/>
  <c r="R233" i="4"/>
  <c r="E233" i="4"/>
  <c r="R232" i="4"/>
  <c r="E232" i="4"/>
  <c r="R231" i="4"/>
  <c r="E231" i="4"/>
  <c r="R230" i="4"/>
  <c r="E230" i="4"/>
  <c r="R229" i="4"/>
  <c r="E229" i="4"/>
  <c r="R228" i="4"/>
  <c r="E228" i="4"/>
  <c r="R227" i="4"/>
  <c r="E227" i="4"/>
  <c r="R226" i="4"/>
  <c r="E226" i="4"/>
  <c r="R225" i="4"/>
  <c r="E225" i="4"/>
  <c r="R224" i="4"/>
  <c r="E224" i="4"/>
  <c r="R223" i="4"/>
  <c r="E223" i="4"/>
  <c r="R222" i="4"/>
  <c r="E222" i="4"/>
  <c r="R221" i="4"/>
  <c r="E221" i="4"/>
  <c r="R220" i="4"/>
  <c r="E220" i="4"/>
  <c r="D220" i="5" s="1"/>
  <c r="E220" i="5" s="1"/>
  <c r="R219" i="4"/>
  <c r="E219" i="4"/>
  <c r="R218" i="4"/>
  <c r="E218" i="4"/>
  <c r="R217" i="4"/>
  <c r="R216" i="4"/>
  <c r="E216" i="4"/>
  <c r="R215" i="4"/>
  <c r="E215" i="4"/>
  <c r="R214" i="4"/>
  <c r="E214" i="4"/>
  <c r="D214" i="5" s="1"/>
  <c r="E214" i="5" s="1"/>
  <c r="D214" i="6" s="1"/>
  <c r="E214" i="6" s="1"/>
  <c r="R213" i="4"/>
  <c r="E213" i="4"/>
  <c r="R212" i="4"/>
  <c r="E212" i="4"/>
  <c r="R211" i="4"/>
  <c r="E211" i="4"/>
  <c r="R210" i="4"/>
  <c r="E210" i="4"/>
  <c r="R209" i="4"/>
  <c r="E209" i="4"/>
  <c r="R208" i="4"/>
  <c r="E208" i="4"/>
  <c r="R207" i="4"/>
  <c r="E207" i="4"/>
  <c r="R206" i="4"/>
  <c r="E206" i="4"/>
  <c r="D206" i="5" s="1"/>
  <c r="E206" i="5" s="1"/>
  <c r="D206" i="6" s="1"/>
  <c r="E206" i="6" s="1"/>
  <c r="R205" i="4"/>
  <c r="E205" i="4"/>
  <c r="R204" i="4"/>
  <c r="E204" i="4"/>
  <c r="R203" i="4"/>
  <c r="E203" i="4"/>
  <c r="R202" i="4"/>
  <c r="E202" i="4"/>
  <c r="R201" i="4"/>
  <c r="E201" i="4"/>
  <c r="R200" i="4"/>
  <c r="E200" i="4"/>
  <c r="R199" i="4"/>
  <c r="E199" i="4"/>
  <c r="R198" i="4"/>
  <c r="E198" i="4"/>
  <c r="R197" i="4"/>
  <c r="E197" i="4"/>
  <c r="R196" i="4"/>
  <c r="E196" i="4"/>
  <c r="R193" i="4"/>
  <c r="R192" i="4"/>
  <c r="E192" i="4"/>
  <c r="R191" i="4"/>
  <c r="E191" i="4"/>
  <c r="R190" i="4"/>
  <c r="E190" i="4"/>
  <c r="R189" i="4"/>
  <c r="R188" i="4"/>
  <c r="E188" i="4"/>
  <c r="R187" i="4"/>
  <c r="E187" i="4"/>
  <c r="R186" i="4"/>
  <c r="E186" i="4"/>
  <c r="R185" i="4"/>
  <c r="R184" i="4"/>
  <c r="E184" i="4"/>
  <c r="R183" i="4"/>
  <c r="E183" i="4"/>
  <c r="R182" i="4"/>
  <c r="E182" i="4"/>
  <c r="R181" i="4"/>
  <c r="R180" i="4"/>
  <c r="E180" i="4"/>
  <c r="R179" i="4"/>
  <c r="E179" i="4"/>
  <c r="R178" i="4"/>
  <c r="E178" i="4"/>
  <c r="R177" i="4"/>
  <c r="R176" i="4"/>
  <c r="E176" i="4"/>
  <c r="R175" i="4"/>
  <c r="E175" i="4"/>
  <c r="R174" i="4"/>
  <c r="E174" i="4"/>
  <c r="R173" i="4"/>
  <c r="R172" i="4"/>
  <c r="E172" i="4"/>
  <c r="R171" i="4"/>
  <c r="E171" i="4"/>
  <c r="R170" i="4"/>
  <c r="E170" i="4"/>
  <c r="R169" i="4"/>
  <c r="R168" i="4"/>
  <c r="E168" i="4"/>
  <c r="R167" i="4"/>
  <c r="E167" i="4"/>
  <c r="R166" i="4"/>
  <c r="E166" i="4"/>
  <c r="R165" i="4"/>
  <c r="E165" i="4"/>
  <c r="R164" i="4"/>
  <c r="E164" i="4"/>
  <c r="R163" i="4"/>
  <c r="E163" i="4"/>
  <c r="R162" i="4"/>
  <c r="E162" i="4"/>
  <c r="R161" i="4"/>
  <c r="E161" i="4"/>
  <c r="R160" i="4"/>
  <c r="E160" i="4"/>
  <c r="R159" i="4"/>
  <c r="E159" i="4"/>
  <c r="R158" i="4"/>
  <c r="E158" i="4"/>
  <c r="R157" i="4"/>
  <c r="E157" i="4"/>
  <c r="R156" i="4"/>
  <c r="E156" i="4"/>
  <c r="R155" i="4"/>
  <c r="E155" i="4"/>
  <c r="R154" i="4"/>
  <c r="E154" i="4"/>
  <c r="R151" i="4"/>
  <c r="E151" i="4"/>
  <c r="R150" i="4"/>
  <c r="E150" i="4"/>
  <c r="R149" i="4"/>
  <c r="E149" i="4"/>
  <c r="R148" i="4"/>
  <c r="E148" i="4"/>
  <c r="R147" i="4"/>
  <c r="E147" i="4"/>
  <c r="R146" i="4"/>
  <c r="E146" i="4"/>
  <c r="R145" i="4"/>
  <c r="E145" i="4"/>
  <c r="R144" i="4"/>
  <c r="E144" i="4"/>
  <c r="R143" i="4"/>
  <c r="E143" i="4"/>
  <c r="R142" i="4"/>
  <c r="E142" i="4"/>
  <c r="R141" i="4"/>
  <c r="E141" i="4"/>
  <c r="R140" i="4"/>
  <c r="E140" i="4"/>
  <c r="R139" i="4"/>
  <c r="E139" i="4"/>
  <c r="R138" i="4"/>
  <c r="E138" i="4"/>
  <c r="R137" i="4"/>
  <c r="E137" i="4"/>
  <c r="R134" i="4"/>
  <c r="E134" i="4"/>
  <c r="R133" i="4"/>
  <c r="E133" i="4"/>
  <c r="R132" i="4"/>
  <c r="E132" i="4"/>
  <c r="R131" i="4"/>
  <c r="E131" i="4"/>
  <c r="R130" i="4"/>
  <c r="E130" i="4"/>
  <c r="R129" i="4"/>
  <c r="E129" i="4"/>
  <c r="R128" i="4"/>
  <c r="E128" i="4"/>
  <c r="R127" i="4"/>
  <c r="E127" i="4"/>
  <c r="R126" i="4"/>
  <c r="E126" i="4"/>
  <c r="R125" i="4"/>
  <c r="E125" i="4"/>
  <c r="R124" i="4"/>
  <c r="E124" i="4"/>
  <c r="R123" i="4"/>
  <c r="E123" i="4"/>
  <c r="R122" i="4"/>
  <c r="E122" i="4"/>
  <c r="R121" i="4"/>
  <c r="E121" i="4"/>
  <c r="R120" i="4"/>
  <c r="E120" i="4"/>
  <c r="R119" i="4"/>
  <c r="E119" i="4"/>
  <c r="R118" i="4"/>
  <c r="E118" i="4"/>
  <c r="R117" i="4"/>
  <c r="E117" i="4"/>
  <c r="R116" i="4"/>
  <c r="E116" i="4"/>
  <c r="R115" i="4"/>
  <c r="E115" i="4"/>
  <c r="R114" i="4"/>
  <c r="E114" i="4"/>
  <c r="R113" i="4"/>
  <c r="E113" i="4"/>
  <c r="R112" i="4"/>
  <c r="E112" i="4"/>
  <c r="R111" i="4"/>
  <c r="E111" i="4"/>
  <c r="R110" i="4"/>
  <c r="E110" i="4"/>
  <c r="R109" i="4"/>
  <c r="E109" i="4"/>
  <c r="R108" i="4"/>
  <c r="E108" i="4"/>
  <c r="R107" i="4"/>
  <c r="E107" i="4"/>
  <c r="R106" i="4"/>
  <c r="E106" i="4"/>
  <c r="R105" i="4"/>
  <c r="E105" i="4"/>
  <c r="R104" i="4"/>
  <c r="E104" i="4"/>
  <c r="R103" i="4"/>
  <c r="E103" i="4"/>
  <c r="R102" i="4"/>
  <c r="E102" i="4"/>
  <c r="R101" i="4"/>
  <c r="E101" i="4"/>
  <c r="R100" i="4"/>
  <c r="E100" i="4"/>
  <c r="R99" i="4"/>
  <c r="E99" i="4"/>
  <c r="R96" i="4"/>
  <c r="E96" i="4"/>
  <c r="R95" i="4"/>
  <c r="E95" i="4"/>
  <c r="R94" i="4"/>
  <c r="E94" i="4"/>
  <c r="R93" i="4"/>
  <c r="E93" i="4"/>
  <c r="R92" i="4"/>
  <c r="E92" i="4"/>
  <c r="R91" i="4"/>
  <c r="E91" i="4"/>
  <c r="R90" i="4"/>
  <c r="E90" i="4"/>
  <c r="R89" i="4"/>
  <c r="E89" i="4"/>
  <c r="R88" i="4"/>
  <c r="E88" i="4"/>
  <c r="R87" i="4"/>
  <c r="E87" i="4"/>
  <c r="R86" i="4"/>
  <c r="E86" i="4"/>
  <c r="R85" i="4"/>
  <c r="E85" i="4"/>
  <c r="R84" i="4"/>
  <c r="E84" i="4"/>
  <c r="R83" i="4"/>
  <c r="E83" i="4"/>
  <c r="R82" i="4"/>
  <c r="E82" i="4"/>
  <c r="R81" i="4"/>
  <c r="E81" i="4"/>
  <c r="R80" i="4"/>
  <c r="E80" i="4"/>
  <c r="R79" i="4"/>
  <c r="E79" i="4"/>
  <c r="R78" i="4"/>
  <c r="E78" i="4"/>
  <c r="R77" i="4"/>
  <c r="E77" i="4"/>
  <c r="R76" i="4"/>
  <c r="E76" i="4"/>
  <c r="R75" i="4"/>
  <c r="E75" i="4"/>
  <c r="R74" i="4"/>
  <c r="E74" i="4"/>
  <c r="R73" i="4"/>
  <c r="E73" i="4"/>
  <c r="R72" i="4"/>
  <c r="E72" i="4"/>
  <c r="R71" i="4"/>
  <c r="E71" i="4"/>
  <c r="R70" i="4"/>
  <c r="E70" i="4"/>
  <c r="R69" i="4"/>
  <c r="E69" i="4"/>
  <c r="R68" i="4"/>
  <c r="E68" i="4"/>
  <c r="R67" i="4"/>
  <c r="E67" i="4"/>
  <c r="R66" i="4"/>
  <c r="E66" i="4"/>
  <c r="R65" i="4"/>
  <c r="E65" i="4"/>
  <c r="R64" i="4"/>
  <c r="E64" i="4"/>
  <c r="R63" i="4"/>
  <c r="E63" i="4"/>
  <c r="R62" i="4"/>
  <c r="E62" i="4"/>
  <c r="R61" i="4"/>
  <c r="E61" i="4"/>
  <c r="R60" i="4"/>
  <c r="E60" i="4"/>
  <c r="R59" i="4"/>
  <c r="E59" i="4"/>
  <c r="R56" i="4"/>
  <c r="E56" i="4"/>
  <c r="R55" i="4"/>
  <c r="R54" i="4"/>
  <c r="R53" i="4"/>
  <c r="R52" i="4"/>
  <c r="E52" i="4"/>
  <c r="R51" i="4"/>
  <c r="E51" i="4"/>
  <c r="R50" i="4"/>
  <c r="E50" i="4"/>
  <c r="R49" i="4"/>
  <c r="E49" i="4"/>
  <c r="R48" i="4"/>
  <c r="R47" i="4"/>
  <c r="R46" i="4"/>
  <c r="E46" i="4"/>
  <c r="R45" i="4"/>
  <c r="E45" i="4"/>
  <c r="R44" i="4"/>
  <c r="E44" i="4"/>
  <c r="R43" i="4"/>
  <c r="E43" i="4"/>
  <c r="R42" i="4"/>
  <c r="E42" i="4"/>
  <c r="R41" i="4"/>
  <c r="E41" i="4"/>
  <c r="R40" i="4"/>
  <c r="E40" i="4"/>
  <c r="R39" i="4"/>
  <c r="E39" i="4"/>
  <c r="R38" i="4"/>
  <c r="E38" i="4"/>
  <c r="R37" i="4"/>
  <c r="R36" i="4"/>
  <c r="R35" i="4"/>
  <c r="R34" i="4"/>
  <c r="E34" i="4"/>
  <c r="R33" i="4"/>
  <c r="E33" i="4"/>
  <c r="R32" i="4"/>
  <c r="E32" i="4"/>
  <c r="R31" i="4"/>
  <c r="E31" i="4"/>
  <c r="R30" i="4"/>
  <c r="E30" i="4"/>
  <c r="R29" i="4"/>
  <c r="E29" i="4"/>
  <c r="R28" i="4"/>
  <c r="R27" i="4"/>
  <c r="E27" i="4"/>
  <c r="R26" i="4"/>
  <c r="E26" i="4"/>
  <c r="R23" i="4"/>
  <c r="E23" i="4"/>
  <c r="R22" i="4"/>
  <c r="E22" i="4"/>
  <c r="R21" i="4"/>
  <c r="E21" i="4"/>
  <c r="R20" i="4"/>
  <c r="E20" i="4"/>
  <c r="R19" i="4"/>
  <c r="E19" i="4"/>
  <c r="R18" i="4"/>
  <c r="E18" i="4"/>
  <c r="R17" i="4"/>
  <c r="E17" i="4"/>
  <c r="R16" i="4"/>
  <c r="E16" i="4"/>
  <c r="R15" i="4"/>
  <c r="E15" i="4"/>
  <c r="R14" i="4"/>
  <c r="E14" i="4"/>
  <c r="R13" i="4"/>
  <c r="E13" i="4"/>
  <c r="R12" i="4"/>
  <c r="E12" i="4"/>
  <c r="R11" i="4"/>
  <c r="E11" i="4"/>
  <c r="R10" i="4"/>
  <c r="E10" i="4"/>
  <c r="D244" i="3" l="1"/>
  <c r="D245" i="3"/>
  <c r="D246" i="3"/>
  <c r="D247" i="3"/>
  <c r="D248" i="3"/>
  <c r="D249" i="3"/>
  <c r="D250" i="3"/>
  <c r="D251" i="3"/>
  <c r="D252" i="3"/>
  <c r="D253" i="3"/>
  <c r="D254" i="3"/>
  <c r="D255" i="3"/>
  <c r="E255" i="3" s="1"/>
  <c r="D256" i="3"/>
  <c r="D257" i="3"/>
  <c r="D258" i="3"/>
  <c r="D259" i="3"/>
  <c r="E259" i="3" s="1"/>
  <c r="D260" i="3"/>
  <c r="D261" i="3"/>
  <c r="D262" i="3"/>
  <c r="D263" i="3"/>
  <c r="E263" i="3" s="1"/>
  <c r="D264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10" i="3"/>
  <c r="D11" i="3"/>
  <c r="D12" i="3"/>
  <c r="D13" i="3"/>
  <c r="D14" i="3"/>
  <c r="D15" i="3"/>
  <c r="D16" i="3"/>
  <c r="D17" i="3"/>
  <c r="D18" i="3"/>
  <c r="D19" i="3"/>
  <c r="D20" i="3"/>
  <c r="D21" i="3"/>
  <c r="E21" i="3" s="1"/>
  <c r="D22" i="3"/>
  <c r="D23" i="3"/>
  <c r="R264" i="3"/>
  <c r="E264" i="3"/>
  <c r="R263" i="3"/>
  <c r="R262" i="3"/>
  <c r="E262" i="3"/>
  <c r="R261" i="3"/>
  <c r="E261" i="3"/>
  <c r="R260" i="3"/>
  <c r="E260" i="3"/>
  <c r="R259" i="3"/>
  <c r="R258" i="3"/>
  <c r="E258" i="3"/>
  <c r="R257" i="3"/>
  <c r="E257" i="3"/>
  <c r="R256" i="3"/>
  <c r="E256" i="3"/>
  <c r="R255" i="3"/>
  <c r="R254" i="3"/>
  <c r="E254" i="3"/>
  <c r="R253" i="3"/>
  <c r="E253" i="3"/>
  <c r="R252" i="3"/>
  <c r="E252" i="3"/>
  <c r="R251" i="3"/>
  <c r="E251" i="3"/>
  <c r="R250" i="3"/>
  <c r="E250" i="3"/>
  <c r="R249" i="3"/>
  <c r="E249" i="3"/>
  <c r="R248" i="3"/>
  <c r="E248" i="3"/>
  <c r="R247" i="3"/>
  <c r="E247" i="3"/>
  <c r="R246" i="3"/>
  <c r="E246" i="3"/>
  <c r="R245" i="3"/>
  <c r="E245" i="3"/>
  <c r="R244" i="3"/>
  <c r="E244" i="3"/>
  <c r="R241" i="3"/>
  <c r="E241" i="3"/>
  <c r="R240" i="3"/>
  <c r="E240" i="3"/>
  <c r="R239" i="3"/>
  <c r="E239" i="3"/>
  <c r="R238" i="3"/>
  <c r="E238" i="3"/>
  <c r="R237" i="3"/>
  <c r="E237" i="3"/>
  <c r="R236" i="3"/>
  <c r="E236" i="3"/>
  <c r="R235" i="3"/>
  <c r="E235" i="3"/>
  <c r="R234" i="3"/>
  <c r="E234" i="3"/>
  <c r="R233" i="3"/>
  <c r="E233" i="3"/>
  <c r="R232" i="3"/>
  <c r="E232" i="3"/>
  <c r="R231" i="3"/>
  <c r="E231" i="3"/>
  <c r="R230" i="3"/>
  <c r="E230" i="3"/>
  <c r="R229" i="3"/>
  <c r="E229" i="3"/>
  <c r="R228" i="3"/>
  <c r="E228" i="3"/>
  <c r="R227" i="3"/>
  <c r="E227" i="3"/>
  <c r="R226" i="3"/>
  <c r="E226" i="3"/>
  <c r="R225" i="3"/>
  <c r="E225" i="3"/>
  <c r="R224" i="3"/>
  <c r="E224" i="3"/>
  <c r="R223" i="3"/>
  <c r="E223" i="3"/>
  <c r="R222" i="3"/>
  <c r="E222" i="3"/>
  <c r="R221" i="3"/>
  <c r="E221" i="3"/>
  <c r="R220" i="3"/>
  <c r="E220" i="3"/>
  <c r="R219" i="3"/>
  <c r="E219" i="3"/>
  <c r="R218" i="3"/>
  <c r="E218" i="3"/>
  <c r="R217" i="3"/>
  <c r="E217" i="3"/>
  <c r="D217" i="4" s="1"/>
  <c r="E217" i="4" s="1"/>
  <c r="R216" i="3"/>
  <c r="E216" i="3"/>
  <c r="R215" i="3"/>
  <c r="E215" i="3"/>
  <c r="R214" i="3"/>
  <c r="E214" i="3"/>
  <c r="R213" i="3"/>
  <c r="E213" i="3"/>
  <c r="R212" i="3"/>
  <c r="E212" i="3"/>
  <c r="R211" i="3"/>
  <c r="E211" i="3"/>
  <c r="R210" i="3"/>
  <c r="E210" i="3"/>
  <c r="R209" i="3"/>
  <c r="E209" i="3"/>
  <c r="R208" i="3"/>
  <c r="E208" i="3"/>
  <c r="R207" i="3"/>
  <c r="E207" i="3"/>
  <c r="R206" i="3"/>
  <c r="E206" i="3"/>
  <c r="R205" i="3"/>
  <c r="E205" i="3"/>
  <c r="R204" i="3"/>
  <c r="E204" i="3"/>
  <c r="R203" i="3"/>
  <c r="E203" i="3"/>
  <c r="R202" i="3"/>
  <c r="E202" i="3"/>
  <c r="R201" i="3"/>
  <c r="E201" i="3"/>
  <c r="R200" i="3"/>
  <c r="E200" i="3"/>
  <c r="R199" i="3"/>
  <c r="E199" i="3"/>
  <c r="R198" i="3"/>
  <c r="E198" i="3"/>
  <c r="R197" i="3"/>
  <c r="E197" i="3"/>
  <c r="R196" i="3"/>
  <c r="E196" i="3"/>
  <c r="R193" i="3"/>
  <c r="E193" i="3"/>
  <c r="R192" i="3"/>
  <c r="E192" i="3"/>
  <c r="R191" i="3"/>
  <c r="E191" i="3"/>
  <c r="R190" i="3"/>
  <c r="E190" i="3"/>
  <c r="R189" i="3"/>
  <c r="E189" i="3"/>
  <c r="R188" i="3"/>
  <c r="E188" i="3"/>
  <c r="R187" i="3"/>
  <c r="E187" i="3"/>
  <c r="R186" i="3"/>
  <c r="E186" i="3"/>
  <c r="R185" i="3"/>
  <c r="E185" i="3"/>
  <c r="R184" i="3"/>
  <c r="E184" i="3"/>
  <c r="R183" i="3"/>
  <c r="E183" i="3"/>
  <c r="R182" i="3"/>
  <c r="E182" i="3"/>
  <c r="R181" i="3"/>
  <c r="E181" i="3"/>
  <c r="R180" i="3"/>
  <c r="E180" i="3"/>
  <c r="R179" i="3"/>
  <c r="E179" i="3"/>
  <c r="R178" i="3"/>
  <c r="E178" i="3"/>
  <c r="R177" i="3"/>
  <c r="E177" i="3"/>
  <c r="R176" i="3"/>
  <c r="E176" i="3"/>
  <c r="R175" i="3"/>
  <c r="E175" i="3"/>
  <c r="R174" i="3"/>
  <c r="E174" i="3"/>
  <c r="R173" i="3"/>
  <c r="E173" i="3"/>
  <c r="R172" i="3"/>
  <c r="E172" i="3"/>
  <c r="R171" i="3"/>
  <c r="E171" i="3"/>
  <c r="R170" i="3"/>
  <c r="E170" i="3"/>
  <c r="R169" i="3"/>
  <c r="E169" i="3"/>
  <c r="R168" i="3"/>
  <c r="E168" i="3"/>
  <c r="R167" i="3"/>
  <c r="E167" i="3"/>
  <c r="R166" i="3"/>
  <c r="E166" i="3"/>
  <c r="R165" i="3"/>
  <c r="E165" i="3"/>
  <c r="R164" i="3"/>
  <c r="E164" i="3"/>
  <c r="R163" i="3"/>
  <c r="E163" i="3"/>
  <c r="R162" i="3"/>
  <c r="E162" i="3"/>
  <c r="R161" i="3"/>
  <c r="E161" i="3"/>
  <c r="R160" i="3"/>
  <c r="E160" i="3"/>
  <c r="R159" i="3"/>
  <c r="E159" i="3"/>
  <c r="R158" i="3"/>
  <c r="E158" i="3"/>
  <c r="R157" i="3"/>
  <c r="E157" i="3"/>
  <c r="R156" i="3"/>
  <c r="E156" i="3"/>
  <c r="R155" i="3"/>
  <c r="E155" i="3"/>
  <c r="R154" i="3"/>
  <c r="E154" i="3"/>
  <c r="R151" i="3"/>
  <c r="E151" i="3"/>
  <c r="R150" i="3"/>
  <c r="E150" i="3"/>
  <c r="R149" i="3"/>
  <c r="E149" i="3"/>
  <c r="R148" i="3"/>
  <c r="E148" i="3"/>
  <c r="R147" i="3"/>
  <c r="E147" i="3"/>
  <c r="R146" i="3"/>
  <c r="E146" i="3"/>
  <c r="R145" i="3"/>
  <c r="E145" i="3"/>
  <c r="R144" i="3"/>
  <c r="E144" i="3"/>
  <c r="R143" i="3"/>
  <c r="E143" i="3"/>
  <c r="R142" i="3"/>
  <c r="E142" i="3"/>
  <c r="R141" i="3"/>
  <c r="E141" i="3"/>
  <c r="R140" i="3"/>
  <c r="E140" i="3"/>
  <c r="R139" i="3"/>
  <c r="E139" i="3"/>
  <c r="R138" i="3"/>
  <c r="E138" i="3"/>
  <c r="R137" i="3"/>
  <c r="E137" i="3"/>
  <c r="R134" i="3"/>
  <c r="E134" i="3"/>
  <c r="R133" i="3"/>
  <c r="E133" i="3"/>
  <c r="R132" i="3"/>
  <c r="E132" i="3"/>
  <c r="R131" i="3"/>
  <c r="E131" i="3"/>
  <c r="R130" i="3"/>
  <c r="E130" i="3"/>
  <c r="R129" i="3"/>
  <c r="E129" i="3"/>
  <c r="R128" i="3"/>
  <c r="E128" i="3"/>
  <c r="R127" i="3"/>
  <c r="E127" i="3"/>
  <c r="R126" i="3"/>
  <c r="E126" i="3"/>
  <c r="R125" i="3"/>
  <c r="E125" i="3"/>
  <c r="R124" i="3"/>
  <c r="E124" i="3"/>
  <c r="R123" i="3"/>
  <c r="E123" i="3"/>
  <c r="R122" i="3"/>
  <c r="E122" i="3"/>
  <c r="R121" i="3"/>
  <c r="E121" i="3"/>
  <c r="R120" i="3"/>
  <c r="E120" i="3"/>
  <c r="R119" i="3"/>
  <c r="E119" i="3"/>
  <c r="R118" i="3"/>
  <c r="E118" i="3"/>
  <c r="R117" i="3"/>
  <c r="E117" i="3"/>
  <c r="R116" i="3"/>
  <c r="E116" i="3"/>
  <c r="R115" i="3"/>
  <c r="E115" i="3"/>
  <c r="R114" i="3"/>
  <c r="E114" i="3"/>
  <c r="R113" i="3"/>
  <c r="E113" i="3"/>
  <c r="R112" i="3"/>
  <c r="E112" i="3"/>
  <c r="R111" i="3"/>
  <c r="E111" i="3"/>
  <c r="R110" i="3"/>
  <c r="E110" i="3"/>
  <c r="R109" i="3"/>
  <c r="E109" i="3"/>
  <c r="R108" i="3"/>
  <c r="E108" i="3"/>
  <c r="R107" i="3"/>
  <c r="E107" i="3"/>
  <c r="R106" i="3"/>
  <c r="E106" i="3"/>
  <c r="R105" i="3"/>
  <c r="E105" i="3"/>
  <c r="R104" i="3"/>
  <c r="E104" i="3"/>
  <c r="R103" i="3"/>
  <c r="E103" i="3"/>
  <c r="R102" i="3"/>
  <c r="E102" i="3"/>
  <c r="R101" i="3"/>
  <c r="E101" i="3"/>
  <c r="R100" i="3"/>
  <c r="E100" i="3"/>
  <c r="R99" i="3"/>
  <c r="E99" i="3"/>
  <c r="R96" i="3"/>
  <c r="E96" i="3"/>
  <c r="R95" i="3"/>
  <c r="E95" i="3"/>
  <c r="R94" i="3"/>
  <c r="E94" i="3"/>
  <c r="R93" i="3"/>
  <c r="E93" i="3"/>
  <c r="R92" i="3"/>
  <c r="E92" i="3"/>
  <c r="R91" i="3"/>
  <c r="E91" i="3"/>
  <c r="R90" i="3"/>
  <c r="E90" i="3"/>
  <c r="R89" i="3"/>
  <c r="E89" i="3"/>
  <c r="R88" i="3"/>
  <c r="E88" i="3"/>
  <c r="R87" i="3"/>
  <c r="E87" i="3"/>
  <c r="R86" i="3"/>
  <c r="E86" i="3"/>
  <c r="R85" i="3"/>
  <c r="E85" i="3"/>
  <c r="R84" i="3"/>
  <c r="E84" i="3"/>
  <c r="R83" i="3"/>
  <c r="E83" i="3"/>
  <c r="R82" i="3"/>
  <c r="E82" i="3"/>
  <c r="R81" i="3"/>
  <c r="E81" i="3"/>
  <c r="R80" i="3"/>
  <c r="E80" i="3"/>
  <c r="R79" i="3"/>
  <c r="E79" i="3"/>
  <c r="R78" i="3"/>
  <c r="E78" i="3"/>
  <c r="R77" i="3"/>
  <c r="E77" i="3"/>
  <c r="R76" i="3"/>
  <c r="E76" i="3"/>
  <c r="R75" i="3"/>
  <c r="E75" i="3"/>
  <c r="R74" i="3"/>
  <c r="E74" i="3"/>
  <c r="R73" i="3"/>
  <c r="E73" i="3"/>
  <c r="R72" i="3"/>
  <c r="E72" i="3"/>
  <c r="R71" i="3"/>
  <c r="E71" i="3"/>
  <c r="R70" i="3"/>
  <c r="E70" i="3"/>
  <c r="R69" i="3"/>
  <c r="E69" i="3"/>
  <c r="R68" i="3"/>
  <c r="E68" i="3"/>
  <c r="R67" i="3"/>
  <c r="E67" i="3"/>
  <c r="R66" i="3"/>
  <c r="E66" i="3"/>
  <c r="R65" i="3"/>
  <c r="E65" i="3"/>
  <c r="R64" i="3"/>
  <c r="E64" i="3"/>
  <c r="R63" i="3"/>
  <c r="E63" i="3"/>
  <c r="R62" i="3"/>
  <c r="E62" i="3"/>
  <c r="R61" i="3"/>
  <c r="E61" i="3"/>
  <c r="R60" i="3"/>
  <c r="E60" i="3"/>
  <c r="R59" i="3"/>
  <c r="E59" i="3"/>
  <c r="R56" i="3"/>
  <c r="E56" i="3"/>
  <c r="R55" i="3"/>
  <c r="E55" i="3"/>
  <c r="D55" i="4" s="1"/>
  <c r="E55" i="4" s="1"/>
  <c r="D55" i="5" s="1"/>
  <c r="E55" i="5" s="1"/>
  <c r="R54" i="3"/>
  <c r="E54" i="3"/>
  <c r="D54" i="4" s="1"/>
  <c r="E54" i="4" s="1"/>
  <c r="D54" i="5" s="1"/>
  <c r="E54" i="5" s="1"/>
  <c r="R53" i="3"/>
  <c r="E53" i="3"/>
  <c r="D53" i="4" s="1"/>
  <c r="E53" i="4" s="1"/>
  <c r="D53" i="5" s="1"/>
  <c r="E53" i="5" s="1"/>
  <c r="R52" i="3"/>
  <c r="E52" i="3"/>
  <c r="R51" i="3"/>
  <c r="E51" i="3"/>
  <c r="R50" i="3"/>
  <c r="E50" i="3"/>
  <c r="R49" i="3"/>
  <c r="E49" i="3"/>
  <c r="R48" i="3"/>
  <c r="E48" i="3"/>
  <c r="D48" i="4" s="1"/>
  <c r="E48" i="4" s="1"/>
  <c r="R47" i="3"/>
  <c r="E47" i="3"/>
  <c r="D47" i="4" s="1"/>
  <c r="E47" i="4" s="1"/>
  <c r="R46" i="3"/>
  <c r="E46" i="3"/>
  <c r="R45" i="3"/>
  <c r="E45" i="3"/>
  <c r="R44" i="3"/>
  <c r="E44" i="3"/>
  <c r="R43" i="3"/>
  <c r="E43" i="3"/>
  <c r="R42" i="3"/>
  <c r="E42" i="3"/>
  <c r="R41" i="3"/>
  <c r="E41" i="3"/>
  <c r="R40" i="3"/>
  <c r="E40" i="3"/>
  <c r="R39" i="3"/>
  <c r="E39" i="3"/>
  <c r="R38" i="3"/>
  <c r="E38" i="3"/>
  <c r="R37" i="3"/>
  <c r="E37" i="3"/>
  <c r="D37" i="4" s="1"/>
  <c r="E37" i="4" s="1"/>
  <c r="R36" i="3"/>
  <c r="E36" i="3"/>
  <c r="D36" i="4" s="1"/>
  <c r="E36" i="4" s="1"/>
  <c r="R35" i="3"/>
  <c r="E35" i="3"/>
  <c r="D35" i="4" s="1"/>
  <c r="E35" i="4" s="1"/>
  <c r="R34" i="3"/>
  <c r="E34" i="3"/>
  <c r="R33" i="3"/>
  <c r="E33" i="3"/>
  <c r="R32" i="3"/>
  <c r="E32" i="3"/>
  <c r="R31" i="3"/>
  <c r="E31" i="3"/>
  <c r="R30" i="3"/>
  <c r="E30" i="3"/>
  <c r="R29" i="3"/>
  <c r="E29" i="3"/>
  <c r="R28" i="3"/>
  <c r="E28" i="3"/>
  <c r="D28" i="4" s="1"/>
  <c r="E28" i="4" s="1"/>
  <c r="R27" i="3"/>
  <c r="E27" i="3"/>
  <c r="R26" i="3"/>
  <c r="E26" i="3"/>
  <c r="R23" i="3"/>
  <c r="E23" i="3"/>
  <c r="R22" i="3"/>
  <c r="E22" i="3"/>
  <c r="R21" i="3"/>
  <c r="R20" i="3"/>
  <c r="E20" i="3"/>
  <c r="R19" i="3"/>
  <c r="E19" i="3"/>
  <c r="R18" i="3"/>
  <c r="E18" i="3"/>
  <c r="R17" i="3"/>
  <c r="E17" i="3"/>
  <c r="R16" i="3"/>
  <c r="E16" i="3"/>
  <c r="R15" i="3"/>
  <c r="E15" i="3"/>
  <c r="R14" i="3"/>
  <c r="E14" i="3"/>
  <c r="R13" i="3"/>
  <c r="E13" i="3"/>
  <c r="R12" i="3"/>
  <c r="E12" i="3"/>
  <c r="R11" i="3"/>
  <c r="E11" i="3"/>
  <c r="R10" i="3"/>
  <c r="E10" i="3"/>
  <c r="R264" i="1" l="1"/>
  <c r="E264" i="1"/>
  <c r="R263" i="1"/>
  <c r="E263" i="1"/>
  <c r="R262" i="1"/>
  <c r="E262" i="1"/>
  <c r="R261" i="1"/>
  <c r="E261" i="1"/>
  <c r="R260" i="1"/>
  <c r="E260" i="1"/>
  <c r="R259" i="1"/>
  <c r="E259" i="1"/>
  <c r="R258" i="1"/>
  <c r="E258" i="1"/>
  <c r="R257" i="1"/>
  <c r="E257" i="1"/>
  <c r="R256" i="1"/>
  <c r="E256" i="1"/>
  <c r="R255" i="1"/>
  <c r="E255" i="1"/>
  <c r="R254" i="1"/>
  <c r="E254" i="1"/>
  <c r="R253" i="1"/>
  <c r="E253" i="1"/>
  <c r="R252" i="1"/>
  <c r="E252" i="1"/>
  <c r="R251" i="1"/>
  <c r="E251" i="1"/>
  <c r="R250" i="1"/>
  <c r="E250" i="1"/>
  <c r="R249" i="1"/>
  <c r="E249" i="1"/>
  <c r="R248" i="1"/>
  <c r="E248" i="1"/>
  <c r="R247" i="1"/>
  <c r="E247" i="1"/>
  <c r="R246" i="1"/>
  <c r="E246" i="1"/>
  <c r="R245" i="1"/>
  <c r="E245" i="1"/>
  <c r="R244" i="1"/>
  <c r="E244" i="1"/>
  <c r="R241" i="1"/>
  <c r="E241" i="1"/>
  <c r="R240" i="1"/>
  <c r="E240" i="1"/>
  <c r="R239" i="1"/>
  <c r="E239" i="1"/>
  <c r="R238" i="1"/>
  <c r="E238" i="1"/>
  <c r="R237" i="1"/>
  <c r="E237" i="1"/>
  <c r="R236" i="1"/>
  <c r="E236" i="1"/>
  <c r="R235" i="1"/>
  <c r="E235" i="1"/>
  <c r="R234" i="1"/>
  <c r="E234" i="1"/>
  <c r="R233" i="1"/>
  <c r="E233" i="1"/>
  <c r="R232" i="1"/>
  <c r="E232" i="1"/>
  <c r="R231" i="1"/>
  <c r="E231" i="1"/>
  <c r="R230" i="1"/>
  <c r="E230" i="1"/>
  <c r="R229" i="1"/>
  <c r="E229" i="1"/>
  <c r="R228" i="1"/>
  <c r="E228" i="1"/>
  <c r="R227" i="1"/>
  <c r="E227" i="1"/>
  <c r="R226" i="1"/>
  <c r="E226" i="1"/>
  <c r="R225" i="1"/>
  <c r="E225" i="1"/>
  <c r="R224" i="1"/>
  <c r="E224" i="1"/>
  <c r="R223" i="1"/>
  <c r="E223" i="1"/>
  <c r="R222" i="1"/>
  <c r="E222" i="1"/>
  <c r="R221" i="1"/>
  <c r="E221" i="1"/>
  <c r="R220" i="1"/>
  <c r="E220" i="1"/>
  <c r="R219" i="1"/>
  <c r="E219" i="1"/>
  <c r="R218" i="1"/>
  <c r="E218" i="1"/>
  <c r="R217" i="1"/>
  <c r="E217" i="1"/>
  <c r="R216" i="1"/>
  <c r="E216" i="1"/>
  <c r="R215" i="1"/>
  <c r="E215" i="1"/>
  <c r="R214" i="1"/>
  <c r="E214" i="1"/>
  <c r="R213" i="1"/>
  <c r="E213" i="1"/>
  <c r="R212" i="1"/>
  <c r="E212" i="1"/>
  <c r="R211" i="1"/>
  <c r="E211" i="1"/>
  <c r="R210" i="1"/>
  <c r="E210" i="1"/>
  <c r="R209" i="1"/>
  <c r="E209" i="1"/>
  <c r="R208" i="1"/>
  <c r="E208" i="1"/>
  <c r="R207" i="1"/>
  <c r="E207" i="1"/>
  <c r="R206" i="1"/>
  <c r="E206" i="1"/>
  <c r="R205" i="1"/>
  <c r="E205" i="1"/>
  <c r="R204" i="1"/>
  <c r="E204" i="1"/>
  <c r="R203" i="1"/>
  <c r="E203" i="1"/>
  <c r="R202" i="1"/>
  <c r="E202" i="1"/>
  <c r="R201" i="1"/>
  <c r="E201" i="1"/>
  <c r="R200" i="1"/>
  <c r="E200" i="1"/>
  <c r="R199" i="1"/>
  <c r="E199" i="1"/>
  <c r="R198" i="1"/>
  <c r="E198" i="1"/>
  <c r="R197" i="1"/>
  <c r="E197" i="1"/>
  <c r="R196" i="1"/>
  <c r="E196" i="1"/>
  <c r="R193" i="1"/>
  <c r="E193" i="1"/>
  <c r="R192" i="1"/>
  <c r="E192" i="1"/>
  <c r="R191" i="1"/>
  <c r="E191" i="1"/>
  <c r="R190" i="1"/>
  <c r="E190" i="1"/>
  <c r="R189" i="1"/>
  <c r="E189" i="1"/>
  <c r="R188" i="1"/>
  <c r="E188" i="1"/>
  <c r="R187" i="1"/>
  <c r="E187" i="1"/>
  <c r="R186" i="1"/>
  <c r="E186" i="1"/>
  <c r="R185" i="1"/>
  <c r="E185" i="1"/>
  <c r="R184" i="1"/>
  <c r="E184" i="1"/>
  <c r="R183" i="1"/>
  <c r="E183" i="1"/>
  <c r="R182" i="1"/>
  <c r="E182" i="1"/>
  <c r="R181" i="1"/>
  <c r="E181" i="1"/>
  <c r="R180" i="1"/>
  <c r="E180" i="1"/>
  <c r="R179" i="1"/>
  <c r="E179" i="1"/>
  <c r="R178" i="1"/>
  <c r="E178" i="1"/>
  <c r="R177" i="1"/>
  <c r="E177" i="1"/>
  <c r="R176" i="1"/>
  <c r="E176" i="1"/>
  <c r="R175" i="1"/>
  <c r="E175" i="1"/>
  <c r="R174" i="1"/>
  <c r="E174" i="1"/>
  <c r="R173" i="1"/>
  <c r="E173" i="1"/>
  <c r="R172" i="1"/>
  <c r="E172" i="1"/>
  <c r="R171" i="1"/>
  <c r="E171" i="1"/>
  <c r="R170" i="1"/>
  <c r="E170" i="1"/>
  <c r="R169" i="1"/>
  <c r="E169" i="1"/>
  <c r="R168" i="1"/>
  <c r="E168" i="1"/>
  <c r="R167" i="1"/>
  <c r="E167" i="1"/>
  <c r="R166" i="1"/>
  <c r="E166" i="1"/>
  <c r="R165" i="1"/>
  <c r="E165" i="1"/>
  <c r="R164" i="1"/>
  <c r="E164" i="1"/>
  <c r="R163" i="1"/>
  <c r="E163" i="1"/>
  <c r="R162" i="1"/>
  <c r="E162" i="1"/>
  <c r="R161" i="1"/>
  <c r="E161" i="1"/>
  <c r="R160" i="1"/>
  <c r="E160" i="1"/>
  <c r="R159" i="1"/>
  <c r="E159" i="1"/>
  <c r="R158" i="1"/>
  <c r="E158" i="1"/>
  <c r="R157" i="1"/>
  <c r="E157" i="1"/>
  <c r="R156" i="1"/>
  <c r="E156" i="1"/>
  <c r="R155" i="1"/>
  <c r="E155" i="1"/>
  <c r="R154" i="1"/>
  <c r="E154" i="1"/>
  <c r="R151" i="1"/>
  <c r="E151" i="1"/>
  <c r="R150" i="1"/>
  <c r="E150" i="1"/>
  <c r="R149" i="1"/>
  <c r="E149" i="1"/>
  <c r="R148" i="1"/>
  <c r="E148" i="1"/>
  <c r="R147" i="1"/>
  <c r="E147" i="1"/>
  <c r="R146" i="1"/>
  <c r="E146" i="1"/>
  <c r="R145" i="1"/>
  <c r="E145" i="1"/>
  <c r="R144" i="1"/>
  <c r="E144" i="1"/>
  <c r="R143" i="1"/>
  <c r="E143" i="1"/>
  <c r="R142" i="1"/>
  <c r="E142" i="1"/>
  <c r="R141" i="1"/>
  <c r="E141" i="1"/>
  <c r="R140" i="1"/>
  <c r="E140" i="1"/>
  <c r="R139" i="1"/>
  <c r="E139" i="1"/>
  <c r="R138" i="1"/>
  <c r="E138" i="1"/>
  <c r="R137" i="1"/>
  <c r="E137" i="1"/>
  <c r="R134" i="1"/>
  <c r="E134" i="1"/>
  <c r="R133" i="1"/>
  <c r="E133" i="1"/>
  <c r="R132" i="1"/>
  <c r="E132" i="1"/>
  <c r="R131" i="1"/>
  <c r="E131" i="1"/>
  <c r="R130" i="1"/>
  <c r="E130" i="1"/>
  <c r="R129" i="1"/>
  <c r="E129" i="1"/>
  <c r="R128" i="1"/>
  <c r="E128" i="1"/>
  <c r="R127" i="1"/>
  <c r="E127" i="1"/>
  <c r="R126" i="1"/>
  <c r="E126" i="1"/>
  <c r="R125" i="1"/>
  <c r="E125" i="1"/>
  <c r="R124" i="1"/>
  <c r="E124" i="1"/>
  <c r="R123" i="1"/>
  <c r="E123" i="1"/>
  <c r="R122" i="1"/>
  <c r="E122" i="1"/>
  <c r="R121" i="1"/>
  <c r="E121" i="1"/>
  <c r="R120" i="1"/>
  <c r="E120" i="1"/>
  <c r="R119" i="1"/>
  <c r="E119" i="1"/>
  <c r="R118" i="1"/>
  <c r="E118" i="1"/>
  <c r="R117" i="1"/>
  <c r="E117" i="1"/>
  <c r="R116" i="1"/>
  <c r="E116" i="1"/>
  <c r="R115" i="1"/>
  <c r="E115" i="1"/>
  <c r="R114" i="1"/>
  <c r="E114" i="1"/>
  <c r="R113" i="1"/>
  <c r="E113" i="1"/>
  <c r="R112" i="1"/>
  <c r="E112" i="1"/>
  <c r="R111" i="1"/>
  <c r="E111" i="1"/>
  <c r="R110" i="1"/>
  <c r="E110" i="1"/>
  <c r="R109" i="1"/>
  <c r="E109" i="1"/>
  <c r="R108" i="1"/>
  <c r="E108" i="1"/>
  <c r="R107" i="1"/>
  <c r="E107" i="1"/>
  <c r="R106" i="1"/>
  <c r="E106" i="1"/>
  <c r="R105" i="1"/>
  <c r="E105" i="1"/>
  <c r="R104" i="1"/>
  <c r="E104" i="1"/>
  <c r="R103" i="1"/>
  <c r="E103" i="1"/>
  <c r="R102" i="1"/>
  <c r="E102" i="1"/>
  <c r="R101" i="1"/>
  <c r="E101" i="1"/>
  <c r="R100" i="1"/>
  <c r="E100" i="1"/>
  <c r="R99" i="1"/>
  <c r="E99" i="1"/>
  <c r="R96" i="1"/>
  <c r="E96" i="1"/>
  <c r="R95" i="1"/>
  <c r="E95" i="1"/>
  <c r="R94" i="1"/>
  <c r="E94" i="1"/>
  <c r="R93" i="1"/>
  <c r="E93" i="1"/>
  <c r="R92" i="1"/>
  <c r="E92" i="1"/>
  <c r="R91" i="1"/>
  <c r="E91" i="1"/>
  <c r="R90" i="1"/>
  <c r="E90" i="1"/>
  <c r="R89" i="1"/>
  <c r="E89" i="1"/>
  <c r="R88" i="1"/>
  <c r="E88" i="1"/>
  <c r="R87" i="1"/>
  <c r="E87" i="1"/>
  <c r="R86" i="1"/>
  <c r="E86" i="1"/>
  <c r="R85" i="1"/>
  <c r="E85" i="1"/>
  <c r="R84" i="1"/>
  <c r="E84" i="1"/>
  <c r="R83" i="1"/>
  <c r="E83" i="1"/>
  <c r="R82" i="1"/>
  <c r="E82" i="1"/>
  <c r="R81" i="1"/>
  <c r="E81" i="1"/>
  <c r="R80" i="1"/>
  <c r="E80" i="1"/>
  <c r="R79" i="1"/>
  <c r="E79" i="1"/>
  <c r="R78" i="1"/>
  <c r="E78" i="1"/>
  <c r="R77" i="1"/>
  <c r="E77" i="1"/>
  <c r="R76" i="1"/>
  <c r="E76" i="1"/>
  <c r="R75" i="1"/>
  <c r="E75" i="1"/>
  <c r="R74" i="1"/>
  <c r="E74" i="1"/>
  <c r="R73" i="1"/>
  <c r="E73" i="1"/>
  <c r="R72" i="1"/>
  <c r="E72" i="1"/>
  <c r="R71" i="1"/>
  <c r="E71" i="1"/>
  <c r="R70" i="1"/>
  <c r="E70" i="1"/>
  <c r="R69" i="1"/>
  <c r="E69" i="1"/>
  <c r="R68" i="1"/>
  <c r="E68" i="1"/>
  <c r="R67" i="1"/>
  <c r="E67" i="1"/>
  <c r="R66" i="1"/>
  <c r="E66" i="1"/>
  <c r="R65" i="1"/>
  <c r="E65" i="1"/>
  <c r="R64" i="1"/>
  <c r="E64" i="1"/>
  <c r="R63" i="1"/>
  <c r="E63" i="1"/>
  <c r="R62" i="1"/>
  <c r="E62" i="1"/>
  <c r="R61" i="1"/>
  <c r="E61" i="1"/>
  <c r="R60" i="1"/>
  <c r="E60" i="1"/>
  <c r="R59" i="1"/>
  <c r="E59" i="1"/>
  <c r="R56" i="1"/>
  <c r="E56" i="1"/>
  <c r="R55" i="1"/>
  <c r="E55" i="1"/>
  <c r="R54" i="1"/>
  <c r="E54" i="1"/>
  <c r="R53" i="1"/>
  <c r="E53" i="1"/>
  <c r="R52" i="1"/>
  <c r="E52" i="1"/>
  <c r="R51" i="1"/>
  <c r="E51" i="1"/>
  <c r="R50" i="1"/>
  <c r="E50" i="1"/>
  <c r="R49" i="1"/>
  <c r="E49" i="1"/>
  <c r="R48" i="1"/>
  <c r="E48" i="1"/>
  <c r="R47" i="1"/>
  <c r="E47" i="1"/>
  <c r="R46" i="1"/>
  <c r="E46" i="1"/>
  <c r="R45" i="1"/>
  <c r="E45" i="1"/>
  <c r="R44" i="1"/>
  <c r="E44" i="1"/>
  <c r="R43" i="1"/>
  <c r="E43" i="1"/>
  <c r="R42" i="1"/>
  <c r="E42" i="1"/>
  <c r="R41" i="1"/>
  <c r="E41" i="1"/>
  <c r="R40" i="1"/>
  <c r="E40" i="1"/>
  <c r="R39" i="1"/>
  <c r="E39" i="1"/>
  <c r="R38" i="1"/>
  <c r="E38" i="1"/>
  <c r="R37" i="1"/>
  <c r="E37" i="1"/>
  <c r="R36" i="1"/>
  <c r="E36" i="1"/>
  <c r="R35" i="1"/>
  <c r="E35" i="1"/>
  <c r="R34" i="1"/>
  <c r="E34" i="1"/>
  <c r="R33" i="1"/>
  <c r="E33" i="1"/>
  <c r="R32" i="1"/>
  <c r="E32" i="1"/>
  <c r="R31" i="1"/>
  <c r="E31" i="1"/>
  <c r="R30" i="1"/>
  <c r="E30" i="1"/>
  <c r="R29" i="1"/>
  <c r="E29" i="1"/>
  <c r="R28" i="1"/>
  <c r="E28" i="1"/>
  <c r="R27" i="1"/>
  <c r="E27" i="1"/>
  <c r="R26" i="1"/>
  <c r="E26" i="1"/>
  <c r="R23" i="1"/>
  <c r="E23" i="1"/>
  <c r="R22" i="1"/>
  <c r="E22" i="1"/>
  <c r="R21" i="1"/>
  <c r="E21" i="1"/>
  <c r="R20" i="1"/>
  <c r="E20" i="1"/>
  <c r="R19" i="1"/>
  <c r="E19" i="1"/>
  <c r="R18" i="1"/>
  <c r="E18" i="1"/>
  <c r="R17" i="1"/>
  <c r="E17" i="1"/>
  <c r="R16" i="1"/>
  <c r="E16" i="1"/>
  <c r="R15" i="1"/>
  <c r="E15" i="1"/>
  <c r="R14" i="1"/>
  <c r="E14" i="1"/>
  <c r="R13" i="1"/>
  <c r="E13" i="1"/>
  <c r="R12" i="1"/>
  <c r="E12" i="1"/>
  <c r="R11" i="1"/>
  <c r="E11" i="1"/>
  <c r="R10" i="1"/>
  <c r="E10" i="1"/>
</calcChain>
</file>

<file path=xl/sharedStrings.xml><?xml version="1.0" encoding="utf-8"?>
<sst xmlns="http://schemas.openxmlformats.org/spreadsheetml/2006/main" count="3121" uniqueCount="510">
  <si>
    <t>REPORTE DE INGRESOS Y SALIDAS</t>
  </si>
  <si>
    <t>INVENTARIO ACTUAL</t>
  </si>
  <si>
    <t>MES</t>
  </si>
  <si>
    <t xml:space="preserve">            </t>
  </si>
  <si>
    <t>SALON A</t>
  </si>
  <si>
    <t>CODIGO DE VENTA</t>
  </si>
  <si>
    <t>INVENTARIO INICIAL</t>
  </si>
  <si>
    <t>STOCK</t>
  </si>
  <si>
    <t>INGRESO LUNES</t>
  </si>
  <si>
    <t>VENTA    LUNES</t>
  </si>
  <si>
    <t>INGRESO MARTES</t>
  </si>
  <si>
    <t>VENTA MARTES</t>
  </si>
  <si>
    <t>INGRESO MIERCOLES</t>
  </si>
  <si>
    <t>VENTA MIERCOLES</t>
  </si>
  <si>
    <t>INGRESO JUEVES</t>
  </si>
  <si>
    <t>VENTA JUEVES</t>
  </si>
  <si>
    <t>INGRESO VIERNES</t>
  </si>
  <si>
    <t>VENTA VIERNES</t>
  </si>
  <si>
    <t xml:space="preserve"> INGRESO SABADO</t>
  </si>
  <si>
    <t>VENTA SABADO</t>
  </si>
  <si>
    <t>VENTA SEMANAL</t>
  </si>
  <si>
    <t xml:space="preserve">TALONERAS DE DAMA BLANCO CON DISEÑO  </t>
  </si>
  <si>
    <t>A101</t>
  </si>
  <si>
    <t xml:space="preserve">TALONERAS DE DAMA PLOMO CON DISEÑO </t>
  </si>
  <si>
    <t>A102</t>
  </si>
  <si>
    <t xml:space="preserve">TALONERAS DE DAMA COLORES  </t>
  </si>
  <si>
    <t>A103</t>
  </si>
  <si>
    <t xml:space="preserve">TALONERAS DE DAMA TRICOLOR </t>
  </si>
  <si>
    <t>A104</t>
  </si>
  <si>
    <t xml:space="preserve">TALONERAS DE DAMA BLANCO </t>
  </si>
  <si>
    <t>A105</t>
  </si>
  <si>
    <t xml:space="preserve">TALONERAS DE DAMA PLOMO </t>
  </si>
  <si>
    <t>A106</t>
  </si>
  <si>
    <t>TALONERAS DE DAMA NEGRO</t>
  </si>
  <si>
    <t>A107</t>
  </si>
  <si>
    <t>TOBILLERAS DE DAMA BLANCO CON DISEÑO</t>
  </si>
  <si>
    <t>A108</t>
  </si>
  <si>
    <t xml:space="preserve">TOBILLERAS DE DAMA PLOMO CON DISEÑO </t>
  </si>
  <si>
    <t>A109</t>
  </si>
  <si>
    <t xml:space="preserve"> </t>
  </si>
  <si>
    <t xml:space="preserve">TOBILLERAS DE DAMA COLORES </t>
  </si>
  <si>
    <t>A110</t>
  </si>
  <si>
    <t xml:space="preserve">TOBILLERAS DE DAMA TRICOLOR </t>
  </si>
  <si>
    <t>A111</t>
  </si>
  <si>
    <t xml:space="preserve">TOBILLERAS DE DAMA PLOMO </t>
  </si>
  <si>
    <t>A112</t>
  </si>
  <si>
    <t xml:space="preserve">TOBILLERAS DE DAMA BLANCO </t>
  </si>
  <si>
    <t>A113</t>
  </si>
  <si>
    <t xml:space="preserve">TOBILLERAS DE DAMA NEGRO </t>
  </si>
  <si>
    <t>A114</t>
  </si>
  <si>
    <t>SALON B</t>
  </si>
  <si>
    <t>VENTA LUNES</t>
  </si>
  <si>
    <t xml:space="preserve">TALONERA DE HOMBRE AZUL </t>
  </si>
  <si>
    <t>B115</t>
  </si>
  <si>
    <t xml:space="preserve">TALONERAS DE HOMBRE PLOMO </t>
  </si>
  <si>
    <t>B116</t>
  </si>
  <si>
    <t xml:space="preserve">TALONERAS DE HOMBRE NEGRO </t>
  </si>
  <si>
    <t>B117</t>
  </si>
  <si>
    <t xml:space="preserve">TALONERAS DE HOMBRE BLANCO </t>
  </si>
  <si>
    <t>B118</t>
  </si>
  <si>
    <t xml:space="preserve">TALONERA DE HOMBRE BLANCO PLANTA PLOMA </t>
  </si>
  <si>
    <t>B119</t>
  </si>
  <si>
    <t xml:space="preserve">TALONERAS DE HOMBRE COLORES </t>
  </si>
  <si>
    <t>B120</t>
  </si>
  <si>
    <t xml:space="preserve">TALONERAS DE HOMBRE TRICOLOR </t>
  </si>
  <si>
    <t>B121</t>
  </si>
  <si>
    <t xml:space="preserve">TALONERAS DE HOMBRE PLOMO CON DISEÑO </t>
  </si>
  <si>
    <t>B122</t>
  </si>
  <si>
    <t xml:space="preserve">TALONERAS DE HOMBRE BLANCO CON DISEÑO </t>
  </si>
  <si>
    <t>B123</t>
  </si>
  <si>
    <t>TOBILLERAS DE HOMBRE COLORES</t>
  </si>
  <si>
    <t>B124</t>
  </si>
  <si>
    <t xml:space="preserve">TOBILLERAS DE HOMBRE TRICOLOR </t>
  </si>
  <si>
    <t>B125</t>
  </si>
  <si>
    <t xml:space="preserve">TOBILLERAS DE HOMBRE NEGRO </t>
  </si>
  <si>
    <t>B126</t>
  </si>
  <si>
    <t xml:space="preserve">TOBILLERAS DE HOMBRE PLOMO </t>
  </si>
  <si>
    <t>B127</t>
  </si>
  <si>
    <t xml:space="preserve">TOBILLERAS DE HOMBRE BLANCO </t>
  </si>
  <si>
    <t>B128</t>
  </si>
  <si>
    <t xml:space="preserve">TOBILLERA DE HOMBRE AZUL </t>
  </si>
  <si>
    <t>B129</t>
  </si>
  <si>
    <t xml:space="preserve">TOBILLERA DE HOMBRE BLANCO PLANTA PLOMA </t>
  </si>
  <si>
    <t>B130</t>
  </si>
  <si>
    <t>TALONERA DE HOMBRE PLOMO OSCURO</t>
  </si>
  <si>
    <t>B131</t>
  </si>
  <si>
    <t xml:space="preserve">PUÑO DE HOMBRE PLOMO CON DISEÑO </t>
  </si>
  <si>
    <t>B132</t>
  </si>
  <si>
    <t>PUÑO DE HOMBRE BLANCO CON DISEÑO</t>
  </si>
  <si>
    <t>B133</t>
  </si>
  <si>
    <t>LARGAS DE HOMBRE PLOMO CON DISEÑO</t>
  </si>
  <si>
    <t>B134</t>
  </si>
  <si>
    <t>LARGAS DE HOMBRE BLANCO CON DISEÑO</t>
  </si>
  <si>
    <t>B135</t>
  </si>
  <si>
    <t xml:space="preserve">TOBILLERAS DE HOMBRE PLOMO CON DISEÑO </t>
  </si>
  <si>
    <t>B136</t>
  </si>
  <si>
    <t xml:space="preserve">TOBILLERAS DE HOMBRE BLANCO CON DISEÑO </t>
  </si>
  <si>
    <t>B137</t>
  </si>
  <si>
    <t xml:space="preserve">TOBILLERA DE HOMBRE PLOMO OSCURO </t>
  </si>
  <si>
    <t>B138</t>
  </si>
  <si>
    <t>LARGAS DE HOMBRE COLOR BLANCO</t>
  </si>
  <si>
    <t>B139</t>
  </si>
  <si>
    <t>LARGAS DE HOMBRE COLOR PLOMO</t>
  </si>
  <si>
    <t>B140</t>
  </si>
  <si>
    <t>LARGAS DE HOMBRE COLOR NEGRO</t>
  </si>
  <si>
    <t>B141</t>
  </si>
  <si>
    <t>LARGAS DE HOMBRE COLOR VERDE MILITAR</t>
  </si>
  <si>
    <t>B142</t>
  </si>
  <si>
    <t>LARGAS DE HOMBRE COLOR BEIGE</t>
  </si>
  <si>
    <t>B143</t>
  </si>
  <si>
    <t>LARGAS DE HOMBRE COLOR AZUL</t>
  </si>
  <si>
    <t>B144</t>
  </si>
  <si>
    <t>LARGAS DE HOMBRE COLOR CAQUI</t>
  </si>
  <si>
    <t>B145</t>
  </si>
  <si>
    <t>SALON C</t>
  </si>
  <si>
    <t>TOBILLERA DE NIÑA BLANCO CON DISEÑO 01 FELPA</t>
  </si>
  <si>
    <t>C146</t>
  </si>
  <si>
    <t>TOBILLERA DE NIÑA PLOMO CON DISEÑO 01 FELPA</t>
  </si>
  <si>
    <t>C147</t>
  </si>
  <si>
    <t>TOBILLERA DE NIÑA COLORES ENTEROS 01 FELPA</t>
  </si>
  <si>
    <t>C148</t>
  </si>
  <si>
    <t>TALONERA DE NIÑA BLANCO CON DISEÑO 01 FELPA</t>
  </si>
  <si>
    <t>C149</t>
  </si>
  <si>
    <t>TALONERA DE NIÑA PLOMO CON DISEÑO 01 FELPA</t>
  </si>
  <si>
    <t>C150</t>
  </si>
  <si>
    <t>TALONERA DE NIÑA COLORES ENTEROS 01 FELPA</t>
  </si>
  <si>
    <t>C151</t>
  </si>
  <si>
    <t>LARGAS DE NIÑA BLANCO CON DISEÑO 01 FELPA</t>
  </si>
  <si>
    <t>C152</t>
  </si>
  <si>
    <t>LARGAS DE NIÑA PLOMO CON DISEÑO 01 FELPA</t>
  </si>
  <si>
    <t>C153</t>
  </si>
  <si>
    <t>VALERINA NIÑA BLANCO DISEÑO 01 GRUESO</t>
  </si>
  <si>
    <t>C154</t>
  </si>
  <si>
    <t>PUÑO DE NIÑA VOLTEADO COLOR ENTERO 01 GRUESO</t>
  </si>
  <si>
    <t>C155</t>
  </si>
  <si>
    <t>ZAPATILLITA NIÑO BLANCO DISEÑO 01 GRUESO</t>
  </si>
  <si>
    <t>C156</t>
  </si>
  <si>
    <t>ZAPATILLITA NIÑO PLOMO DISEÑO 01 GRUESO</t>
  </si>
  <si>
    <t>C157</t>
  </si>
  <si>
    <t>TALONERA DE NIÑO COLORES ENTEROS 01 FELPA</t>
  </si>
  <si>
    <t>C158</t>
  </si>
  <si>
    <t>TALONERA DE NIÑO BLANCO CON DISEÑO 01 FELPA</t>
  </si>
  <si>
    <t>C159</t>
  </si>
  <si>
    <t>TALONERA DE NIÑO PLOMO CON DISEÑO 01 FELPA</t>
  </si>
  <si>
    <t>C160</t>
  </si>
  <si>
    <t>TOBILLERA DE NIÑO COLORES ENTEROS 01 FELPA</t>
  </si>
  <si>
    <t>C161</t>
  </si>
  <si>
    <t>TOBILLERA DE NIÑO BLANCO CON DISEÑO 01 FELPA</t>
  </si>
  <si>
    <t>C162</t>
  </si>
  <si>
    <t>TOBILLERA DE NIÑO PLOMO CON DISEÑO 01 FELPA</t>
  </si>
  <si>
    <t>C163</t>
  </si>
  <si>
    <t>LARGAS DE NIÑA COLORES ENTEROS 01 FELPA</t>
  </si>
  <si>
    <t>C164</t>
  </si>
  <si>
    <t>LARGAS DE NIÑO COLORES ENTEROS 01 FELPA</t>
  </si>
  <si>
    <t>C165</t>
  </si>
  <si>
    <t>LARGAS DE NIÑO BLANCO CON DISEÑO 01 FELPA</t>
  </si>
  <si>
    <t>C166</t>
  </si>
  <si>
    <t>LARGAS DE NIÑO PLOMO CON DISEÑO 01 FELPA</t>
  </si>
  <si>
    <t>C167</t>
  </si>
  <si>
    <t>TOBILLERA DE NIÑO BLANCO CON DISEÑO 01 DELGADO</t>
  </si>
  <si>
    <t>C168</t>
  </si>
  <si>
    <t>TOBILLERA DE NIÑO PLOMO CON DISEÑO 01 DELGADO</t>
  </si>
  <si>
    <t>C169</t>
  </si>
  <si>
    <t>TOBILLERA DE NIÑO COLORES ENTEROS 01 DELGADO</t>
  </si>
  <si>
    <t>C170</t>
  </si>
  <si>
    <t>TALONERA DE NIÑO BLANCO CON DISEÑO 01 DELGADO</t>
  </si>
  <si>
    <t>C171</t>
  </si>
  <si>
    <t>TALONERA DE NIÑO PLOMO CON DISEÑO 01 DELGADO</t>
  </si>
  <si>
    <t>C172</t>
  </si>
  <si>
    <t>TALONERA DE NIÑO COLORES ENTEROS 01 DELGADO</t>
  </si>
  <si>
    <t>C173</t>
  </si>
  <si>
    <t>TOBILLERA DE NIÑA BLANCO CON DISEÑO 01 DELGADO</t>
  </si>
  <si>
    <t>C174</t>
  </si>
  <si>
    <t>TOBILLERA DE NIÑA PLOMO CON DISEÑO 01 DELGADO</t>
  </si>
  <si>
    <t>C175</t>
  </si>
  <si>
    <t>TOBILLERA DE NIÑA COLORES ENTEROS 01 DELGADO</t>
  </si>
  <si>
    <t>C176</t>
  </si>
  <si>
    <t>TALONERA DE NIÑA COLORES ENTEROS 01 DELGADO</t>
  </si>
  <si>
    <t>C177</t>
  </si>
  <si>
    <t>TALONERA DE NIÑA BLANCO CON DISEÑO 01 DELGADO</t>
  </si>
  <si>
    <t>C178</t>
  </si>
  <si>
    <t>TALONERA DE NIÑA PLOMO CON DISEÑO 01 DELGADO</t>
  </si>
  <si>
    <t>C179</t>
  </si>
  <si>
    <r>
      <t xml:space="preserve">LARGAS DE NIÑA BLANCO CON DISEÑO </t>
    </r>
    <r>
      <rPr>
        <b/>
        <u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GRUESO</t>
    </r>
  </si>
  <si>
    <t>C180</t>
  </si>
  <si>
    <r>
      <t xml:space="preserve">LARGAS DE NIÑA PLOMO CON DISEÑO </t>
    </r>
    <r>
      <rPr>
        <b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GRUESO</t>
    </r>
  </si>
  <si>
    <t>C181</t>
  </si>
  <si>
    <r>
      <t xml:space="preserve">LARGAS DE NIÑO BLANCO CON DISEÑO </t>
    </r>
    <r>
      <rPr>
        <b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GRUESO</t>
    </r>
  </si>
  <si>
    <t>C182</t>
  </si>
  <si>
    <r>
      <t>LARGAS DE NIÑO PLOMO CON DISEÑO</t>
    </r>
    <r>
      <rPr>
        <b/>
        <sz val="10"/>
        <color theme="1"/>
        <rFont val="Calibri"/>
        <family val="2"/>
        <scheme val="minor"/>
      </rPr>
      <t xml:space="preserve"> 2</t>
    </r>
    <r>
      <rPr>
        <sz val="10"/>
        <color theme="1"/>
        <rFont val="Calibri"/>
        <family val="2"/>
        <scheme val="minor"/>
      </rPr>
      <t xml:space="preserve"> GRUESO</t>
    </r>
  </si>
  <si>
    <t>C183</t>
  </si>
  <si>
    <t>SALON D</t>
  </si>
  <si>
    <t>TOBILLERA DE NIÑA 2-5 COLORES</t>
  </si>
  <si>
    <t>D184</t>
  </si>
  <si>
    <t xml:space="preserve">TOBILLERA DE NIÑA 6-9 COLORES </t>
  </si>
  <si>
    <t>D185</t>
  </si>
  <si>
    <t>TOBILLERA DE NIÑA 10-13 COLORES</t>
  </si>
  <si>
    <t>D186</t>
  </si>
  <si>
    <t>TALONERA DE NIÑA 2-5 COLORES</t>
  </si>
  <si>
    <t>D187</t>
  </si>
  <si>
    <t>TALONERA DE NIÑA 6-9 COLORES</t>
  </si>
  <si>
    <t>D188</t>
  </si>
  <si>
    <t>TALONERA DE NIÑA 10-13 COLORES</t>
  </si>
  <si>
    <t>D189</t>
  </si>
  <si>
    <t xml:space="preserve">TALONERA DE NIÑA 2-5 BLANCO CON DISEÑO </t>
  </si>
  <si>
    <t>D190</t>
  </si>
  <si>
    <t xml:space="preserve">TALONERA DE NIÑA 2-5 PLOMO CON DISEÑO </t>
  </si>
  <si>
    <t>D191</t>
  </si>
  <si>
    <t>TALONERA DE NIÑA 6-9 BLANCO CON DISEÑO</t>
  </si>
  <si>
    <t>D192</t>
  </si>
  <si>
    <t xml:space="preserve">TALONERA DE NIÑA 6-9 PLOMO CON DISEÑO </t>
  </si>
  <si>
    <t>D193</t>
  </si>
  <si>
    <t xml:space="preserve">TALONERA DE NIÑA 10-13 BLANCO CON DISEÑO </t>
  </si>
  <si>
    <t>D194</t>
  </si>
  <si>
    <t xml:space="preserve">TALONERA DE NIÑA 10-13 PLOMO CON DISEÑO </t>
  </si>
  <si>
    <t>D195</t>
  </si>
  <si>
    <t xml:space="preserve">TOBILLERA DE NIÑA 2-5 BLANCO CON DISEÑO </t>
  </si>
  <si>
    <t>D196</t>
  </si>
  <si>
    <t xml:space="preserve">TOBILLERA DE NIÑA 2-5 PLOMO CON DISEÑO </t>
  </si>
  <si>
    <t>D197</t>
  </si>
  <si>
    <t xml:space="preserve">TOBILLERA DE NIÑA 6-9 BLANCO CON DISEÑO </t>
  </si>
  <si>
    <t>D198</t>
  </si>
  <si>
    <t xml:space="preserve">TOBILLERA DE NIÑA 6-9 PLOMO CON DISEÑO </t>
  </si>
  <si>
    <t>D199</t>
  </si>
  <si>
    <t>TOBILLERA DE NIÑA 10-13 BLANCO CON DISEÑO</t>
  </si>
  <si>
    <t>D200</t>
  </si>
  <si>
    <t xml:space="preserve">TOBILLERA DE NIÑA 10-13 PLOMO CON DISEÑO </t>
  </si>
  <si>
    <t>D201</t>
  </si>
  <si>
    <t xml:space="preserve">TALONERA DE NIÑO 6-9 COLORES </t>
  </si>
  <si>
    <t>D202</t>
  </si>
  <si>
    <t xml:space="preserve">TALONERA DE NIÑO 10-13 COLORES </t>
  </si>
  <si>
    <t>D203</t>
  </si>
  <si>
    <t xml:space="preserve">TALONERA DE NIÑO 2-5 COLORES </t>
  </si>
  <si>
    <t>D204</t>
  </si>
  <si>
    <t xml:space="preserve">TOBILLERA DE NIÑO 10-13 COLORES </t>
  </si>
  <si>
    <t>D205</t>
  </si>
  <si>
    <t xml:space="preserve">TOBILLERA DE NIÑO 6-9 COLORES </t>
  </si>
  <si>
    <t>D206</t>
  </si>
  <si>
    <t xml:space="preserve">TOBILLERA DE NIÑO 2-5 COLORES </t>
  </si>
  <si>
    <t>D207</t>
  </si>
  <si>
    <t xml:space="preserve">TALONERA DE NIÑO 10-13 BLANCO CON DISEÑO </t>
  </si>
  <si>
    <t>D208</t>
  </si>
  <si>
    <t>TALONERA DE NIÑO 10-13 PLOMO CON DISEÑO</t>
  </si>
  <si>
    <t>D209</t>
  </si>
  <si>
    <t xml:space="preserve">TALONERA DE NIÑO  6-9 BLANCO CON DISEÑO </t>
  </si>
  <si>
    <t>D210</t>
  </si>
  <si>
    <t xml:space="preserve">TALONERA DE NIÑO  6-9 PLOMO CON DISEÑO </t>
  </si>
  <si>
    <t>D211</t>
  </si>
  <si>
    <t xml:space="preserve">TALONERA DE NIÑO 2-5 BLANCO CON DISEÑO </t>
  </si>
  <si>
    <t>D212</t>
  </si>
  <si>
    <t xml:space="preserve">TALONERA DE NIÑO 2-5 PLOMO CON DISEÑO </t>
  </si>
  <si>
    <t>D213</t>
  </si>
  <si>
    <t xml:space="preserve">TOBILLERA DE NIÑO 10-13 BLANCO CON DISEÑO </t>
  </si>
  <si>
    <t>D214</t>
  </si>
  <si>
    <t xml:space="preserve">TOBILLERA DE NIÑO 10-13 PLOMO CON DISEÑO </t>
  </si>
  <si>
    <t>D215</t>
  </si>
  <si>
    <t xml:space="preserve">TOBILLERA DE NIÑO 6-9 BLANCO CON DISEÑO </t>
  </si>
  <si>
    <t>D216</t>
  </si>
  <si>
    <t xml:space="preserve">TOBILLERA DE NIÑO 6-9 PLOMO CON DISEÑO </t>
  </si>
  <si>
    <t>D217</t>
  </si>
  <si>
    <t xml:space="preserve">TOBILLERA DE NIÑO 2-5 BLANCO CON DISEÑO </t>
  </si>
  <si>
    <t>D218</t>
  </si>
  <si>
    <t xml:space="preserve">TOBILLERA DE NIÑO 2-5 PLOMO CON DISEÑO </t>
  </si>
  <si>
    <t>D219</t>
  </si>
  <si>
    <t>SALON E</t>
  </si>
  <si>
    <t>E220</t>
  </si>
  <si>
    <t>E221</t>
  </si>
  <si>
    <t>TOBILLERA DE NIÑA 6-9 BLANCO CON DISEÑO</t>
  </si>
  <si>
    <t>E222</t>
  </si>
  <si>
    <t>TOBILLERA DE NIÑA 6-9 PLOMO CON DISEÑO</t>
  </si>
  <si>
    <t>E223</t>
  </si>
  <si>
    <t>E224</t>
  </si>
  <si>
    <t>TOBILLERA DE NIÑA 10-13 PLOMO CON DISEÑO</t>
  </si>
  <si>
    <t>E225</t>
  </si>
  <si>
    <t>E226</t>
  </si>
  <si>
    <t>E227</t>
  </si>
  <si>
    <t xml:space="preserve">TALONERA DE NIÑA 6-9 BLANCO CON DISEÑO </t>
  </si>
  <si>
    <t>E228</t>
  </si>
  <si>
    <t>TALONERA DE NIÑA 6-9 PLOMO CON DISEÑO</t>
  </si>
  <si>
    <t>E229</t>
  </si>
  <si>
    <t>TALONERA DE NIÑA 10-13 BLANCO CON DISEÑO</t>
  </si>
  <si>
    <t>E230</t>
  </si>
  <si>
    <t>E231</t>
  </si>
  <si>
    <t xml:space="preserve">TOBILLERA DE NIÑA 2-5 COLORES </t>
  </si>
  <si>
    <t>E232</t>
  </si>
  <si>
    <t xml:space="preserve">       </t>
  </si>
  <si>
    <t>E233</t>
  </si>
  <si>
    <t xml:space="preserve">TOBILLERA DE NIÑA 10-13 COLORES </t>
  </si>
  <si>
    <t>E234</t>
  </si>
  <si>
    <t>SALON F</t>
  </si>
  <si>
    <t>TOBILLERA DE NIÑO 2-5 BLANCO FELPA</t>
  </si>
  <si>
    <t>F235</t>
  </si>
  <si>
    <t>TOBILLERA DE NIÑO 6-9 BLANCO FELPA</t>
  </si>
  <si>
    <t>F236</t>
  </si>
  <si>
    <t>TOBILLERA DE NIÑO 10-13 BLANCO FELPA</t>
  </si>
  <si>
    <t>F237</t>
  </si>
  <si>
    <t>TALONERA DE NIÑO 2-5 BLANCO FELPA</t>
  </si>
  <si>
    <t>F238</t>
  </si>
  <si>
    <t>TALONERA DE NIÑO 6-9 BLANCO FELPA</t>
  </si>
  <si>
    <t>F239</t>
  </si>
  <si>
    <t>TALONERA DE NIÑO 10-13 BLANCO FELPA</t>
  </si>
  <si>
    <t>F240</t>
  </si>
  <si>
    <t>TOBILLERA DE NIÑO BLANCO ENTERO 2-5 DELGADO</t>
  </si>
  <si>
    <t>F241</t>
  </si>
  <si>
    <t>TOBILLERA DE NIÑO BLANCO ENTERO 6-9 DELGADO</t>
  </si>
  <si>
    <t>F242</t>
  </si>
  <si>
    <t>TOBILLERA DE NIÑO BLANCO ENTERO 10-13 DELGADO</t>
  </si>
  <si>
    <t>F243</t>
  </si>
  <si>
    <t xml:space="preserve">TALONERA DE NIÑO BLANCO ENTERO 2-5 DELGADO </t>
  </si>
  <si>
    <t>F244</t>
  </si>
  <si>
    <t>TALONERA DE NIÑO BLANCO ENTERO 6-9 DELGADO</t>
  </si>
  <si>
    <t>F245</t>
  </si>
  <si>
    <t>TALONERA DE NIÑO BLANCO ENTERO 10-13 DELGADO</t>
  </si>
  <si>
    <t>F246</t>
  </si>
  <si>
    <t>TOBILLERA DE NIÑA BLANCO ENTERO 2-5 DELGADO</t>
  </si>
  <si>
    <t>F247</t>
  </si>
  <si>
    <t>TOBILLERA DE NIÑA BLANCO ENTERO 6-9 DELGADO</t>
  </si>
  <si>
    <t>F248</t>
  </si>
  <si>
    <t>TOBILLERA DE NIÑA BLANCO ENTERO 10-13 DELGADO</t>
  </si>
  <si>
    <t>F249</t>
  </si>
  <si>
    <t>TALONERA DE NIÑA BLANCO ENTERO 2-5 DELGADO</t>
  </si>
  <si>
    <t>F250</t>
  </si>
  <si>
    <t>TALONERA DE NIÑA BLANCO ENTERO 6-9 DELGADO</t>
  </si>
  <si>
    <t>F251</t>
  </si>
  <si>
    <t>TALONERA DE NIÑA BLANCO ENTERO 10-13 DELGADO</t>
  </si>
  <si>
    <t>F252</t>
  </si>
  <si>
    <t>TOBILLERA DE NIÑA BLANCO ENTERO 2-5 GRUESO</t>
  </si>
  <si>
    <t>F253</t>
  </si>
  <si>
    <t>TOBILLERA DE NIÑA BLANCO ENTERO 6-9 GRUESO</t>
  </si>
  <si>
    <t>F254</t>
  </si>
  <si>
    <t>TOBILLERA DE NIÑA BLANCO ENTERO 10-13 GRUESO</t>
  </si>
  <si>
    <t>F255</t>
  </si>
  <si>
    <t>TALONERA DE NIÑA BLANCO ENTERO 2-5 GRUESO</t>
  </si>
  <si>
    <t>F256</t>
  </si>
  <si>
    <t>TALONERA DE NIÑA BLANCO ENTERO 6-9 GRUESO</t>
  </si>
  <si>
    <t>F257</t>
  </si>
  <si>
    <t>TALONERA DE NIÑA BLANCO ENTERO 10-13 GRUESO</t>
  </si>
  <si>
    <t>F258</t>
  </si>
  <si>
    <t>TOBILLERA DE NIÑO 2-5 BLANCO PLANTA PLOMA GRUESO</t>
  </si>
  <si>
    <t>F259</t>
  </si>
  <si>
    <t xml:space="preserve">TOBILLERA DE NIÑO 6-9 BLANCO PLANTA PLOMA GRUESO </t>
  </si>
  <si>
    <t>F260</t>
  </si>
  <si>
    <t xml:space="preserve">TOBILLERA DE NIÑO 10-13 BLANCO PLANTA PLOMA GRUESO </t>
  </si>
  <si>
    <t>F261</t>
  </si>
  <si>
    <t>TALONERA DE NIÑO 2-5 BLANCO PLANTA PLOMA GRUESO</t>
  </si>
  <si>
    <t>F262</t>
  </si>
  <si>
    <t>TALONERA DE NIÑO 6-9 BLANCO PLANTA PLOMA GRUESO</t>
  </si>
  <si>
    <t>F263</t>
  </si>
  <si>
    <t>TALONERA DE NIÑO 10-13 BLANCO PLANTA PLOMA GRUESO</t>
  </si>
  <si>
    <t>F264</t>
  </si>
  <si>
    <t>TOBILLERA DE NIÑO 2-5 BLANCO PLANTA PLOMA DELGADO</t>
  </si>
  <si>
    <t>F265</t>
  </si>
  <si>
    <t>TOBILLERA DE NIÑO 6-9 BLANCO PLANTA PLOMA DELGADO</t>
  </si>
  <si>
    <t>F266</t>
  </si>
  <si>
    <t>TOBILLERA DE NIÑO 10-13 BLANCO PLANTA PLOMA DELGADO</t>
  </si>
  <si>
    <t>F267</t>
  </si>
  <si>
    <t>TALONERA DE NIÑO 2-5 BLANCO PLANTA PLOMA DELGADO</t>
  </si>
  <si>
    <t>F268</t>
  </si>
  <si>
    <t>TALONERA DE NIÑO 6-9 BLANCO PLANTA PLOMA DELGADO</t>
  </si>
  <si>
    <t>F269</t>
  </si>
  <si>
    <t>TALONERA DE NIÑO 10-13 BLANCO PLANTA PLOMA DELGADO</t>
  </si>
  <si>
    <t>F270</t>
  </si>
  <si>
    <t>TOBILLERA DE NIÑO 0-1 BLANCO ENTERO GRUESO</t>
  </si>
  <si>
    <t>F271</t>
  </si>
  <si>
    <t>TOBILLERA DE NIÑO 0-1 BLANCO ENTERO DELGADO</t>
  </si>
  <si>
    <t>F272</t>
  </si>
  <si>
    <t>TALONERA DE NIÑO 0-1 BLANCO ENTERO GRUESO</t>
  </si>
  <si>
    <t>F273</t>
  </si>
  <si>
    <t>TALONERA DE NIÑO 0-1 BLANCO ENTERO DELGADO</t>
  </si>
  <si>
    <t>F274</t>
  </si>
  <si>
    <t>SALON G</t>
  </si>
  <si>
    <t>SALIDA VIERNES</t>
  </si>
  <si>
    <t>INGRESO SABADO</t>
  </si>
  <si>
    <t>SALIDA SABADO</t>
  </si>
  <si>
    <t>TOBILLERA DE HOMBRE BLANCO PLANTA PLOMO DELGADO</t>
  </si>
  <si>
    <t>G275</t>
  </si>
  <si>
    <t>TOBILLERA DE HOMBRE AZUL ENTERO DELGADO</t>
  </si>
  <si>
    <t>G276</t>
  </si>
  <si>
    <t>TOBILLERA DE HOMBRE TRICOLOR ENTERO DELGADO</t>
  </si>
  <si>
    <t>G277</t>
  </si>
  <si>
    <t>TOBILLERA DE HOMBRE NEGRO ENTERO DELGADO</t>
  </si>
  <si>
    <t>G278</t>
  </si>
  <si>
    <t>TOBILLERA DE HOMBRE BLANCO ENTERO DELGADO</t>
  </si>
  <si>
    <t>G279</t>
  </si>
  <si>
    <t>TOBILLERA DE HOMBRE COLORES ENTEROS DELGADO</t>
  </si>
  <si>
    <t>G280</t>
  </si>
  <si>
    <t>TALONERAS DE HOMBRE BLANCO PLANTA PLOMA DELGADO</t>
  </si>
  <si>
    <t>G281</t>
  </si>
  <si>
    <t>TALONERA DE HOMBRE AZUL ENTERO DELGADO</t>
  </si>
  <si>
    <t>G282</t>
  </si>
  <si>
    <t>TALONERA DE HOMBRE BLANCO CON DISEÑO DELGADO</t>
  </si>
  <si>
    <t>G283</t>
  </si>
  <si>
    <t>TALONERA DE HOMBRE PLOMO CON DISEÑO DELGADO</t>
  </si>
  <si>
    <t>G284</t>
  </si>
  <si>
    <t>TALONERA DE HOMBRE TRICOLOR ENTERO DELGADO</t>
  </si>
  <si>
    <t>G285</t>
  </si>
  <si>
    <t>TALONERA DE HOMBRE COLORES ENTEROS DELGADO</t>
  </si>
  <si>
    <t>G286</t>
  </si>
  <si>
    <t xml:space="preserve">TALONERA DE HOMBRE NEGRO ENTERO DELGADO </t>
  </si>
  <si>
    <t>G287</t>
  </si>
  <si>
    <t>TALONERA DE HOMBRE PLOMO ENTERO DELGADO</t>
  </si>
  <si>
    <t>G288</t>
  </si>
  <si>
    <t>TALONERA DE HOMBRE BLANCO ENTERO DELGADO</t>
  </si>
  <si>
    <t>G289</t>
  </si>
  <si>
    <t>TALONERAS DE MUJER BLANCO CON DISEÑO DELGADO</t>
  </si>
  <si>
    <t>G290</t>
  </si>
  <si>
    <t>TALONERAS DE MUJER PLOMO CON DISEÑO DELGADO</t>
  </si>
  <si>
    <t>G291</t>
  </si>
  <si>
    <t>TALONERAS DE MUJER NEGRO ENTERO DELGADO</t>
  </si>
  <si>
    <t>G292</t>
  </si>
  <si>
    <t>TALONERAS DE MUJER TRICOLOR ENTERO DELGADO</t>
  </si>
  <si>
    <t>G293</t>
  </si>
  <si>
    <t>TALONERAS DE MUJER COLORES ENTEROS DELGADO</t>
  </si>
  <si>
    <t>G294</t>
  </si>
  <si>
    <t>TALONERAS DE MUJER BLANCO ENTERO DELGADO</t>
  </si>
  <si>
    <t>G295</t>
  </si>
  <si>
    <t>TALONERAS DE MUJER PLOMO ENTERO DELGADO</t>
  </si>
  <si>
    <t>G296</t>
  </si>
  <si>
    <t>TOBILLERA DE MUJER NEGRO ENTERO DELGADO</t>
  </si>
  <si>
    <t>G297</t>
  </si>
  <si>
    <t>TOBILLERA DE MUJER BLANCO ENTERO DELGADO</t>
  </si>
  <si>
    <t>G298</t>
  </si>
  <si>
    <t>TOBILLERA DE MUJER TRICOLOR ENTERO DELGADO</t>
  </si>
  <si>
    <t>G299</t>
  </si>
  <si>
    <t>TOBILLERA DE MUJER COLORES ENTERO DELGADO</t>
  </si>
  <si>
    <t>G300</t>
  </si>
  <si>
    <t>TOBILLERA DE MUJER PLOMO ENTERO DELGADO</t>
  </si>
  <si>
    <t>G301</t>
  </si>
  <si>
    <t>TOBILLERA DE MUJER BLANCO CON DISEÑO DELGADO</t>
  </si>
  <si>
    <t>G302</t>
  </si>
  <si>
    <t>TOBILLERA DE MUJER PLOMO CON DISEÑO DELGADO</t>
  </si>
  <si>
    <t>G303</t>
  </si>
  <si>
    <t>TOBILLERA DE HOMBRE BLANCO CON DISEÑO DELGADO</t>
  </si>
  <si>
    <t>G304</t>
  </si>
  <si>
    <t>TOBILLERA DE HOMBRE PLOMO CON DISEÑO DELGADO</t>
  </si>
  <si>
    <t>G305</t>
  </si>
  <si>
    <t>TOBILLERA DE HOMBRE PLOMO ENTERO DELGADO</t>
  </si>
  <si>
    <t>G306</t>
  </si>
  <si>
    <t>PLANTILLAS DE MUJER PLOMO CON DISEÑO DELGADO</t>
  </si>
  <si>
    <t>G307</t>
  </si>
  <si>
    <t>PLANTILLAS DE MUJER BLANCO CON DISEÑO DELGADO</t>
  </si>
  <si>
    <t>G308</t>
  </si>
  <si>
    <t>PLANTILLAS DE MUJER BLANCO ENTERO DELGADO</t>
  </si>
  <si>
    <t>G309</t>
  </si>
  <si>
    <t>PLANTILLAS DE MUJER PLOMO ENTERO DELGADO</t>
  </si>
  <si>
    <t>G310</t>
  </si>
  <si>
    <t>PLANTILLAS DE MUJER NEGRO ENTERO DELGADO</t>
  </si>
  <si>
    <t>G311</t>
  </si>
  <si>
    <t>PLANTILLAS DE MUJER COLORES ENTEROS DELGADO</t>
  </si>
  <si>
    <t>G312</t>
  </si>
  <si>
    <t>PLANTILLAS DE MUJER TRICOLOR ENTERO DELGADO</t>
  </si>
  <si>
    <t>G313</t>
  </si>
  <si>
    <t>PLANTILLAS DE HOMBRE PLOMO CON DISEÑO</t>
  </si>
  <si>
    <t>G314</t>
  </si>
  <si>
    <t>PLANTILLAS DE HOMBRE BLANCO CON DISEÑO</t>
  </si>
  <si>
    <t>G315</t>
  </si>
  <si>
    <t>PLANTILLAS DE HOMBRE BLANCO ENTERO</t>
  </si>
  <si>
    <t>G316</t>
  </si>
  <si>
    <t>PLANTILLAS DE HOMBRE PLOMO ENTERO</t>
  </si>
  <si>
    <t>G317</t>
  </si>
  <si>
    <t>PLANTILLAS DE HOMBRE NEGRO ENTERO</t>
  </si>
  <si>
    <t>G318</t>
  </si>
  <si>
    <t>PLANTILLAS DE HOMBRE COLOR ENTERO</t>
  </si>
  <si>
    <t>G319</t>
  </si>
  <si>
    <t>PLANTILLAS DE HOMBRE TRICOLOR</t>
  </si>
  <si>
    <t>G320</t>
  </si>
  <si>
    <t>SALON H</t>
  </si>
  <si>
    <t>TALONERA DE NIÑA COLORES ENTEROS 2-5 DELGADO</t>
  </si>
  <si>
    <t>H321</t>
  </si>
  <si>
    <t>TALONERA DE NIÑA COLORES ENTEROS 6-9 DELGADO</t>
  </si>
  <si>
    <t>H322</t>
  </si>
  <si>
    <t xml:space="preserve">TALONERA DE NIÑA COLORES ENTEROS 10-13 DELGADO </t>
  </si>
  <si>
    <t>H323</t>
  </si>
  <si>
    <t>TALONERA DE NIÑO COLORES ENTEROS 10-13 DELGADO</t>
  </si>
  <si>
    <t>H324</t>
  </si>
  <si>
    <t>TALONERA DE NIÑO COLORES ENTEROS 6-9 DELGADO</t>
  </si>
  <si>
    <t>H325</t>
  </si>
  <si>
    <t>TALONERA DE NIÑO COLORES ENTEROS 2-5 DELGADO</t>
  </si>
  <si>
    <t>H326</t>
  </si>
  <si>
    <t>TOBILLERA DE NIÑO COLORES ENTEROS 2-5 DELGADO</t>
  </si>
  <si>
    <t>H327</t>
  </si>
  <si>
    <t xml:space="preserve">TOBILLERA DE NIÑO COLORES ENTEROS 6-9 DELGADO </t>
  </si>
  <si>
    <t>H328</t>
  </si>
  <si>
    <t>TOBILLERA DE NIÑO COLORES ENTEROS 10-13 DELGADO</t>
  </si>
  <si>
    <t>H329</t>
  </si>
  <si>
    <t>TOBILLERA DE NIÑO BLANCO CON DISEÑO 10-13 DELGADO</t>
  </si>
  <si>
    <t>H330</t>
  </si>
  <si>
    <t>TOBILLERA DE NIÑO PLOMO CON DISEÑO 10-13 DELGADO</t>
  </si>
  <si>
    <t>H331</t>
  </si>
  <si>
    <t>TOBILLERA DE NIÑO BLANCO CON DISEÑO 6-9 DELGADO</t>
  </si>
  <si>
    <t>H332</t>
  </si>
  <si>
    <t>TOBILLERA DE NIÑO PLOMO CON DISEÑO 6-9 DELGADO</t>
  </si>
  <si>
    <t>H333</t>
  </si>
  <si>
    <t>TOBILLERA DE NIÑO BLANCO CON DISEÑO 2-5 DELGADO</t>
  </si>
  <si>
    <t>H334</t>
  </si>
  <si>
    <t>TOBILLERA DE NIÑO PLOMO CON DISEÑO 2-5 DELGADO</t>
  </si>
  <si>
    <t>H335</t>
  </si>
  <si>
    <t>TALONERA NIÑO BLANCO CON DISEÑO 2-5 DELGADO</t>
  </si>
  <si>
    <t>H336</t>
  </si>
  <si>
    <t>TALONERA NIÑO PLOMO CON DISEÑO 2-5 DELGADO</t>
  </si>
  <si>
    <t>H337</t>
  </si>
  <si>
    <t>TALONERA DE NIÑO BLANCO CON DISEÑO 6-9 DELGADO</t>
  </si>
  <si>
    <t>H338</t>
  </si>
  <si>
    <t>TALONERA DE NIÑO PLOMO CON DISEÑO 6-9 DELGADO</t>
  </si>
  <si>
    <t>H339</t>
  </si>
  <si>
    <t>TALONERA DE NIÑO BLANCO CON DISEÑO 10-13 DELGADO</t>
  </si>
  <si>
    <t>H340</t>
  </si>
  <si>
    <t>TALONERA DE NIÑO PLOMO CON DISEÑO 10-13 DELGADO</t>
  </si>
  <si>
    <t>H341</t>
  </si>
  <si>
    <t xml:space="preserve">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</si>
</sst>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_);[Red]\(#,##0\ &quot;€&quot;\)"/>
  </numFmts>
  <fonts count="13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20"/>
      <color indexed="63"/>
      <name val="Calibri Light"/>
      <family val="1"/>
      <scheme val="major"/>
    </font>
    <font>
      <b/>
      <sz val="18"/>
      <name val="Calibri"/>
      <family val="2"/>
      <scheme val="minor"/>
    </font>
    <font>
      <b/>
      <sz val="10"/>
      <color indexed="63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4"/>
      <color indexed="63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0FD4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6" fillId="4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shrinkToFit="1"/>
    </xf>
    <xf numFmtId="2" fontId="5" fillId="0" borderId="0" xfId="0" applyNumberFormat="1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 wrapText="1"/>
    </xf>
    <xf numFmtId="3" fontId="9" fillId="6" borderId="7" xfId="0" applyNumberFormat="1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1" fillId="0" borderId="9" xfId="0" applyFont="1" applyBorder="1" applyAlignment="1">
      <alignment horizontal="left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9" fillId="0" borderId="9" xfId="0" applyFont="1" applyBorder="1" applyAlignment="1">
      <alignment horizontal="center" shrinkToFit="1"/>
    </xf>
    <xf numFmtId="0" fontId="0" fillId="0" borderId="11" xfId="0" applyBorder="1" applyAlignment="1">
      <alignment horizontal="center"/>
    </xf>
    <xf numFmtId="0" fontId="1" fillId="8" borderId="9" xfId="0" applyFont="1" applyFill="1" applyBorder="1" applyAlignment="1">
      <alignment horizontal="left"/>
    </xf>
    <xf numFmtId="0" fontId="0" fillId="8" borderId="9" xfId="0" applyFill="1" applyBorder="1" applyAlignment="1">
      <alignment horizontal="center"/>
    </xf>
    <xf numFmtId="3" fontId="0" fillId="8" borderId="9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9" xfId="0" applyFill="1" applyBorder="1" applyAlignment="1">
      <alignment horizontal="center" wrapText="1"/>
    </xf>
    <xf numFmtId="0" fontId="9" fillId="8" borderId="9" xfId="0" applyFont="1" applyFill="1" applyBorder="1" applyAlignment="1">
      <alignment horizontal="center" shrinkToFit="1"/>
    </xf>
    <xf numFmtId="0" fontId="0" fillId="8" borderId="11" xfId="0" applyFill="1" applyBorder="1" applyAlignment="1">
      <alignment horizontal="center"/>
    </xf>
    <xf numFmtId="0" fontId="2" fillId="8" borderId="0" xfId="0" applyFont="1" applyFill="1" applyAlignment="1">
      <alignment horizontal="left" vertical="center"/>
    </xf>
    <xf numFmtId="0" fontId="9" fillId="7" borderId="12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3" fontId="0" fillId="8" borderId="9" xfId="0" applyNumberFormat="1" applyFill="1" applyBorder="1" applyAlignment="1">
      <alignment horizontal="center" vertical="center"/>
    </xf>
    <xf numFmtId="0" fontId="0" fillId="9" borderId="0" xfId="0" applyFill="1"/>
    <xf numFmtId="0" fontId="1" fillId="3" borderId="9" xfId="0" applyFont="1" applyFill="1" applyBorder="1" applyAlignment="1">
      <alignment horizontal="left"/>
    </xf>
    <xf numFmtId="0" fontId="0" fillId="3" borderId="9" xfId="0" applyFill="1" applyBorder="1" applyAlignment="1">
      <alignment horizontal="center"/>
    </xf>
    <xf numFmtId="3" fontId="0" fillId="3" borderId="9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3" fontId="0" fillId="3" borderId="9" xfId="0" applyNumberFormat="1" applyFill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vertical="center"/>
    </xf>
    <xf numFmtId="0" fontId="12" fillId="7" borderId="12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1" fillId="10" borderId="9" xfId="0" applyFont="1" applyFill="1" applyBorder="1" applyAlignment="1">
      <alignment horizontal="left"/>
    </xf>
    <xf numFmtId="0" fontId="0" fillId="10" borderId="9" xfId="0" applyFill="1" applyBorder="1" applyAlignment="1">
      <alignment horizontal="center"/>
    </xf>
    <xf numFmtId="3" fontId="0" fillId="10" borderId="9" xfId="0" applyNumberFormat="1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1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3" fontId="0" fillId="10" borderId="9" xfId="0" applyNumberFormat="1" applyFill="1" applyBorder="1" applyAlignment="1">
      <alignment horizontal="center" vertical="center"/>
    </xf>
    <xf numFmtId="0" fontId="0" fillId="10" borderId="0" xfId="0" applyFill="1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3" fontId="0" fillId="0" borderId="10" xfId="0" applyNumberFormat="1" applyBorder="1" applyAlignment="1">
      <alignment horizontal="center"/>
    </xf>
  </cellXfs>
  <cellStyles count="1">
    <cellStyle name="Normal" xfId="0" builtinId="0"/>
  </cellStyles>
  <dxfs count="1350"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alignment vertical="center" textRotation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6" formatCode="\$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u val="none"/>
        <vertAlign val="baseline"/>
        <sz val="10"/>
        <name val="Calibri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rgb="FF95B3D7"/>
        </left>
        <right style="thin">
          <color rgb="FF95B3D7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OCT2'!Q243"/><Relationship Id="rId3" Type="http://schemas.openxmlformats.org/officeDocument/2006/relationships/hyperlink" Target="#'OCT2'!Q25"/><Relationship Id="rId7" Type="http://schemas.openxmlformats.org/officeDocument/2006/relationships/hyperlink" Target="#'OCT2'!Q195"/><Relationship Id="rId2" Type="http://schemas.openxmlformats.org/officeDocument/2006/relationships/hyperlink" Target="#'OCT2'!Q9"/><Relationship Id="rId1" Type="http://schemas.openxmlformats.org/officeDocument/2006/relationships/hyperlink" Target="#'OCT2'!Q58"/><Relationship Id="rId6" Type="http://schemas.openxmlformats.org/officeDocument/2006/relationships/hyperlink" Target="#'OCT2'!Q98"/><Relationship Id="rId5" Type="http://schemas.openxmlformats.org/officeDocument/2006/relationships/hyperlink" Target="#'OCT2'!Q136"/><Relationship Id="rId4" Type="http://schemas.openxmlformats.org/officeDocument/2006/relationships/hyperlink" Target="#'OCT2'!Q153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OCT3'!Q243"/><Relationship Id="rId3" Type="http://schemas.openxmlformats.org/officeDocument/2006/relationships/hyperlink" Target="#'OCT3'!Q25"/><Relationship Id="rId7" Type="http://schemas.openxmlformats.org/officeDocument/2006/relationships/hyperlink" Target="#'OCT3'!Q195"/><Relationship Id="rId2" Type="http://schemas.openxmlformats.org/officeDocument/2006/relationships/hyperlink" Target="#'OCT3'!Q9"/><Relationship Id="rId1" Type="http://schemas.openxmlformats.org/officeDocument/2006/relationships/hyperlink" Target="#'OCT3'!Q58"/><Relationship Id="rId6" Type="http://schemas.openxmlformats.org/officeDocument/2006/relationships/hyperlink" Target="#'OCT3'!Q98"/><Relationship Id="rId5" Type="http://schemas.openxmlformats.org/officeDocument/2006/relationships/hyperlink" Target="#'OCT3'!Q136"/><Relationship Id="rId4" Type="http://schemas.openxmlformats.org/officeDocument/2006/relationships/hyperlink" Target="#'OCT3'!Q153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OCT3 4'!O243"/><Relationship Id="rId3" Type="http://schemas.openxmlformats.org/officeDocument/2006/relationships/hyperlink" Target="#'OCT3 4'!O25"/><Relationship Id="rId7" Type="http://schemas.openxmlformats.org/officeDocument/2006/relationships/hyperlink" Target="#'OCT3 4'!O195"/><Relationship Id="rId2" Type="http://schemas.openxmlformats.org/officeDocument/2006/relationships/hyperlink" Target="#'OCT3 4'!O9"/><Relationship Id="rId1" Type="http://schemas.openxmlformats.org/officeDocument/2006/relationships/hyperlink" Target="#'OCT3 4'!O58"/><Relationship Id="rId6" Type="http://schemas.openxmlformats.org/officeDocument/2006/relationships/hyperlink" Target="#'OCT3 4'!O98"/><Relationship Id="rId5" Type="http://schemas.openxmlformats.org/officeDocument/2006/relationships/hyperlink" Target="#'OCT3 4'!O136"/><Relationship Id="rId4" Type="http://schemas.openxmlformats.org/officeDocument/2006/relationships/hyperlink" Target="#'OCT3 4'!O153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OCT5'!Q243"/><Relationship Id="rId3" Type="http://schemas.openxmlformats.org/officeDocument/2006/relationships/hyperlink" Target="#'OCT5'!Q25"/><Relationship Id="rId7" Type="http://schemas.openxmlformats.org/officeDocument/2006/relationships/hyperlink" Target="#'OCT5'!Q195"/><Relationship Id="rId2" Type="http://schemas.openxmlformats.org/officeDocument/2006/relationships/hyperlink" Target="#'OCT5'!Q9"/><Relationship Id="rId1" Type="http://schemas.openxmlformats.org/officeDocument/2006/relationships/hyperlink" Target="#'OCT5'!Q58"/><Relationship Id="rId6" Type="http://schemas.openxmlformats.org/officeDocument/2006/relationships/hyperlink" Target="#'OCT5'!Q98"/><Relationship Id="rId5" Type="http://schemas.openxmlformats.org/officeDocument/2006/relationships/hyperlink" Target="#'OCT5'!Q136"/><Relationship Id="rId4" Type="http://schemas.openxmlformats.org/officeDocument/2006/relationships/hyperlink" Target="#'OCT5'!Q153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NOV 1'!K243"/><Relationship Id="rId3" Type="http://schemas.openxmlformats.org/officeDocument/2006/relationships/hyperlink" Target="#'NOV 1'!K25"/><Relationship Id="rId7" Type="http://schemas.openxmlformats.org/officeDocument/2006/relationships/hyperlink" Target="#'NOV 1'!K195"/><Relationship Id="rId2" Type="http://schemas.openxmlformats.org/officeDocument/2006/relationships/hyperlink" Target="#'NOV 1'!K9"/><Relationship Id="rId1" Type="http://schemas.openxmlformats.org/officeDocument/2006/relationships/hyperlink" Target="#'NOV 1'!K58"/><Relationship Id="rId6" Type="http://schemas.openxmlformats.org/officeDocument/2006/relationships/hyperlink" Target="#'NOV 1'!K98"/><Relationship Id="rId5" Type="http://schemas.openxmlformats.org/officeDocument/2006/relationships/hyperlink" Target="#'NOV 1'!K136"/><Relationship Id="rId4" Type="http://schemas.openxmlformats.org/officeDocument/2006/relationships/hyperlink" Target="#'NOV 1'!K15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1163605</xdr:colOff>
      <xdr:row>6</xdr:row>
      <xdr:rowOff>26437</xdr:rowOff>
    </xdr:from>
    <xdr:to>
      <xdr:col>1</xdr:col>
      <xdr:colOff>1600977</xdr:colOff>
      <xdr:row>7</xdr:row>
      <xdr:rowOff>152790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ACFB07-7E54-4DB7-A312-C5C4BA6B87AF}"/>
            </a:ext>
          </a:extLst>
        </xdr:cNvPr>
        <xdr:cNvSpPr/>
      </xdr:nvSpPr>
      <xdr:spPr>
        <a:xfrm>
          <a:off x="1277905" y="1483762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C</a:t>
          </a:r>
        </a:p>
      </xdr:txBody>
    </xdr:sp>
    <xdr:clientData/>
  </xdr:twoCellAnchor>
  <xdr:twoCellAnchor>
    <xdr:from>
      <xdr:col>1</xdr:col>
      <xdr:colOff>48597</xdr:colOff>
      <xdr:row>6</xdr:row>
      <xdr:rowOff>29158</xdr:rowOff>
    </xdr:from>
    <xdr:to>
      <xdr:col>1</xdr:col>
      <xdr:colOff>485969</xdr:colOff>
      <xdr:row>7</xdr:row>
      <xdr:rowOff>155511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93BB9F-0F38-4052-87B2-9C474D9CA72C}"/>
            </a:ext>
          </a:extLst>
        </xdr:cNvPr>
        <xdr:cNvSpPr/>
      </xdr:nvSpPr>
      <xdr:spPr>
        <a:xfrm>
          <a:off x="162897" y="148648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A</a:t>
          </a:r>
        </a:p>
      </xdr:txBody>
    </xdr:sp>
    <xdr:clientData/>
  </xdr:twoCellAnchor>
  <xdr:twoCellAnchor>
    <xdr:from>
      <xdr:col>1</xdr:col>
      <xdr:colOff>599492</xdr:colOff>
      <xdr:row>6</xdr:row>
      <xdr:rowOff>26048</xdr:rowOff>
    </xdr:from>
    <xdr:to>
      <xdr:col>1</xdr:col>
      <xdr:colOff>1036864</xdr:colOff>
      <xdr:row>7</xdr:row>
      <xdr:rowOff>152401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AFBD4D-C3AA-4C98-A9D6-3A9C90BB71A5}"/>
            </a:ext>
          </a:extLst>
        </xdr:cNvPr>
        <xdr:cNvSpPr/>
      </xdr:nvSpPr>
      <xdr:spPr>
        <a:xfrm>
          <a:off x="713792" y="148337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B</a:t>
          </a:r>
        </a:p>
        <a:p>
          <a:pPr marL="0" indent="0" algn="ctr"/>
          <a:endParaRPr lang="es-PE" sz="1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2831841</xdr:colOff>
      <xdr:row>6</xdr:row>
      <xdr:rowOff>32658</xdr:rowOff>
    </xdr:from>
    <xdr:to>
      <xdr:col>1</xdr:col>
      <xdr:colOff>3269213</xdr:colOff>
      <xdr:row>7</xdr:row>
      <xdr:rowOff>159011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3D9E9F-0953-48E5-9ED2-CBFCA4E1E716}"/>
            </a:ext>
          </a:extLst>
        </xdr:cNvPr>
        <xdr:cNvSpPr/>
      </xdr:nvSpPr>
      <xdr:spPr>
        <a:xfrm>
          <a:off x="2946141" y="148998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F</a:t>
          </a:r>
        </a:p>
      </xdr:txBody>
    </xdr:sp>
    <xdr:clientData/>
  </xdr:twoCellAnchor>
  <xdr:twoCellAnchor>
    <xdr:from>
      <xdr:col>1</xdr:col>
      <xdr:colOff>2274725</xdr:colOff>
      <xdr:row>6</xdr:row>
      <xdr:rowOff>39266</xdr:rowOff>
    </xdr:from>
    <xdr:to>
      <xdr:col>1</xdr:col>
      <xdr:colOff>2712097</xdr:colOff>
      <xdr:row>7</xdr:row>
      <xdr:rowOff>165619</xdr:rowOff>
    </xdr:to>
    <xdr:sp macro="" textlink="">
      <xdr:nvSpPr>
        <xdr:cNvPr id="6" name="Rectá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2C6449-DC8C-4BF8-953E-1984660BED48}"/>
            </a:ext>
          </a:extLst>
        </xdr:cNvPr>
        <xdr:cNvSpPr/>
      </xdr:nvSpPr>
      <xdr:spPr>
        <a:xfrm>
          <a:off x="2389025" y="1496591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E</a:t>
          </a:r>
        </a:p>
      </xdr:txBody>
    </xdr:sp>
    <xdr:clientData/>
  </xdr:twoCellAnchor>
  <xdr:twoCellAnchor>
    <xdr:from>
      <xdr:col>1</xdr:col>
      <xdr:colOff>1733939</xdr:colOff>
      <xdr:row>6</xdr:row>
      <xdr:rowOff>42765</xdr:rowOff>
    </xdr:from>
    <xdr:to>
      <xdr:col>1</xdr:col>
      <xdr:colOff>2171311</xdr:colOff>
      <xdr:row>7</xdr:row>
      <xdr:rowOff>169118</xdr:rowOff>
    </xdr:to>
    <xdr:sp macro="" textlink="">
      <xdr:nvSpPr>
        <xdr:cNvPr id="7" name="Rectá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038B887-B3DF-4EB0-8E0A-A7AFFE782C00}"/>
            </a:ext>
          </a:extLst>
        </xdr:cNvPr>
        <xdr:cNvSpPr/>
      </xdr:nvSpPr>
      <xdr:spPr>
        <a:xfrm>
          <a:off x="1848239" y="1500090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D</a:t>
          </a:r>
        </a:p>
      </xdr:txBody>
    </xdr:sp>
    <xdr:clientData/>
  </xdr:twoCellAnchor>
  <xdr:twoCellAnchor>
    <xdr:from>
      <xdr:col>2</xdr:col>
      <xdr:colOff>19828</xdr:colOff>
      <xdr:row>6</xdr:row>
      <xdr:rowOff>39267</xdr:rowOff>
    </xdr:from>
    <xdr:to>
      <xdr:col>2</xdr:col>
      <xdr:colOff>457200</xdr:colOff>
      <xdr:row>7</xdr:row>
      <xdr:rowOff>165620</xdr:rowOff>
    </xdr:to>
    <xdr:sp macro="" textlink="">
      <xdr:nvSpPr>
        <xdr:cNvPr id="8" name="Rectá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71C826-BACF-46BC-9B0E-394F6AB93DA0}"/>
            </a:ext>
          </a:extLst>
        </xdr:cNvPr>
        <xdr:cNvSpPr/>
      </xdr:nvSpPr>
      <xdr:spPr>
        <a:xfrm>
          <a:off x="3477403" y="1496592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G</a:t>
          </a:r>
        </a:p>
      </xdr:txBody>
    </xdr:sp>
    <xdr:clientData/>
  </xdr:twoCellAnchor>
  <xdr:twoCellAnchor>
    <xdr:from>
      <xdr:col>3</xdr:col>
      <xdr:colOff>531</xdr:colOff>
      <xdr:row>6</xdr:row>
      <xdr:rowOff>36157</xdr:rowOff>
    </xdr:from>
    <xdr:to>
      <xdr:col>3</xdr:col>
      <xdr:colOff>360946</xdr:colOff>
      <xdr:row>7</xdr:row>
      <xdr:rowOff>154782</xdr:rowOff>
    </xdr:to>
    <xdr:sp macro="" textlink="">
      <xdr:nvSpPr>
        <xdr:cNvPr id="9" name="Rectá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47B1659-6899-4B94-B6E3-6D183DD9AB40}"/>
            </a:ext>
          </a:extLst>
        </xdr:cNvPr>
        <xdr:cNvSpPr/>
      </xdr:nvSpPr>
      <xdr:spPr>
        <a:xfrm>
          <a:off x="3991506" y="1493482"/>
          <a:ext cx="360415" cy="3567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1163605</xdr:colOff>
      <xdr:row>6</xdr:row>
      <xdr:rowOff>26437</xdr:rowOff>
    </xdr:from>
    <xdr:to>
      <xdr:col>1</xdr:col>
      <xdr:colOff>1600977</xdr:colOff>
      <xdr:row>7</xdr:row>
      <xdr:rowOff>152790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45C2DE-3ACD-4FAC-B91A-B7AFC3187E1B}"/>
            </a:ext>
          </a:extLst>
        </xdr:cNvPr>
        <xdr:cNvSpPr/>
      </xdr:nvSpPr>
      <xdr:spPr>
        <a:xfrm>
          <a:off x="1277905" y="1483762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C</a:t>
          </a:r>
        </a:p>
      </xdr:txBody>
    </xdr:sp>
    <xdr:clientData/>
  </xdr:twoCellAnchor>
  <xdr:twoCellAnchor>
    <xdr:from>
      <xdr:col>1</xdr:col>
      <xdr:colOff>48597</xdr:colOff>
      <xdr:row>6</xdr:row>
      <xdr:rowOff>29158</xdr:rowOff>
    </xdr:from>
    <xdr:to>
      <xdr:col>1</xdr:col>
      <xdr:colOff>485969</xdr:colOff>
      <xdr:row>7</xdr:row>
      <xdr:rowOff>155511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CB024B-DAC3-41D9-BD33-D2C91BE87514}"/>
            </a:ext>
          </a:extLst>
        </xdr:cNvPr>
        <xdr:cNvSpPr/>
      </xdr:nvSpPr>
      <xdr:spPr>
        <a:xfrm>
          <a:off x="162897" y="148648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A</a:t>
          </a:r>
        </a:p>
      </xdr:txBody>
    </xdr:sp>
    <xdr:clientData/>
  </xdr:twoCellAnchor>
  <xdr:twoCellAnchor>
    <xdr:from>
      <xdr:col>1</xdr:col>
      <xdr:colOff>599492</xdr:colOff>
      <xdr:row>6</xdr:row>
      <xdr:rowOff>26048</xdr:rowOff>
    </xdr:from>
    <xdr:to>
      <xdr:col>1</xdr:col>
      <xdr:colOff>1036864</xdr:colOff>
      <xdr:row>7</xdr:row>
      <xdr:rowOff>152401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9A7609-FB85-460F-8688-C470EB65F703}"/>
            </a:ext>
          </a:extLst>
        </xdr:cNvPr>
        <xdr:cNvSpPr/>
      </xdr:nvSpPr>
      <xdr:spPr>
        <a:xfrm>
          <a:off x="713792" y="148337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B</a:t>
          </a:r>
        </a:p>
        <a:p>
          <a:pPr marL="0" indent="0" algn="ctr"/>
          <a:endParaRPr lang="es-PE" sz="1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2831841</xdr:colOff>
      <xdr:row>6</xdr:row>
      <xdr:rowOff>32658</xdr:rowOff>
    </xdr:from>
    <xdr:to>
      <xdr:col>1</xdr:col>
      <xdr:colOff>3269213</xdr:colOff>
      <xdr:row>7</xdr:row>
      <xdr:rowOff>159011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A36A90-DA3A-4441-B565-38489B3AAC30}"/>
            </a:ext>
          </a:extLst>
        </xdr:cNvPr>
        <xdr:cNvSpPr/>
      </xdr:nvSpPr>
      <xdr:spPr>
        <a:xfrm>
          <a:off x="2946141" y="148998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F</a:t>
          </a:r>
        </a:p>
      </xdr:txBody>
    </xdr:sp>
    <xdr:clientData/>
  </xdr:twoCellAnchor>
  <xdr:twoCellAnchor>
    <xdr:from>
      <xdr:col>1</xdr:col>
      <xdr:colOff>2274725</xdr:colOff>
      <xdr:row>6</xdr:row>
      <xdr:rowOff>39266</xdr:rowOff>
    </xdr:from>
    <xdr:to>
      <xdr:col>1</xdr:col>
      <xdr:colOff>2712097</xdr:colOff>
      <xdr:row>7</xdr:row>
      <xdr:rowOff>165619</xdr:rowOff>
    </xdr:to>
    <xdr:sp macro="" textlink="">
      <xdr:nvSpPr>
        <xdr:cNvPr id="6" name="Rectá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93AA4B-4372-4FF1-99D7-FA936C1EA734}"/>
            </a:ext>
          </a:extLst>
        </xdr:cNvPr>
        <xdr:cNvSpPr/>
      </xdr:nvSpPr>
      <xdr:spPr>
        <a:xfrm>
          <a:off x="2389025" y="1496591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E</a:t>
          </a:r>
        </a:p>
      </xdr:txBody>
    </xdr:sp>
    <xdr:clientData/>
  </xdr:twoCellAnchor>
  <xdr:twoCellAnchor>
    <xdr:from>
      <xdr:col>1</xdr:col>
      <xdr:colOff>1733939</xdr:colOff>
      <xdr:row>6</xdr:row>
      <xdr:rowOff>42765</xdr:rowOff>
    </xdr:from>
    <xdr:to>
      <xdr:col>1</xdr:col>
      <xdr:colOff>2171311</xdr:colOff>
      <xdr:row>7</xdr:row>
      <xdr:rowOff>169118</xdr:rowOff>
    </xdr:to>
    <xdr:sp macro="" textlink="">
      <xdr:nvSpPr>
        <xdr:cNvPr id="7" name="Rectá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777847-7F9C-4E63-B606-8D08018C1AE7}"/>
            </a:ext>
          </a:extLst>
        </xdr:cNvPr>
        <xdr:cNvSpPr/>
      </xdr:nvSpPr>
      <xdr:spPr>
        <a:xfrm>
          <a:off x="1848239" y="1500090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D</a:t>
          </a:r>
        </a:p>
      </xdr:txBody>
    </xdr:sp>
    <xdr:clientData/>
  </xdr:twoCellAnchor>
  <xdr:twoCellAnchor>
    <xdr:from>
      <xdr:col>2</xdr:col>
      <xdr:colOff>19828</xdr:colOff>
      <xdr:row>6</xdr:row>
      <xdr:rowOff>39267</xdr:rowOff>
    </xdr:from>
    <xdr:to>
      <xdr:col>2</xdr:col>
      <xdr:colOff>457200</xdr:colOff>
      <xdr:row>7</xdr:row>
      <xdr:rowOff>165620</xdr:rowOff>
    </xdr:to>
    <xdr:sp macro="" textlink="">
      <xdr:nvSpPr>
        <xdr:cNvPr id="8" name="Rectá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BEFF9D-54EE-4DBF-8543-1104299FF0C5}"/>
            </a:ext>
          </a:extLst>
        </xdr:cNvPr>
        <xdr:cNvSpPr/>
      </xdr:nvSpPr>
      <xdr:spPr>
        <a:xfrm>
          <a:off x="3477403" y="1496592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G</a:t>
          </a:r>
        </a:p>
      </xdr:txBody>
    </xdr:sp>
    <xdr:clientData/>
  </xdr:twoCellAnchor>
  <xdr:twoCellAnchor>
    <xdr:from>
      <xdr:col>3</xdr:col>
      <xdr:colOff>531</xdr:colOff>
      <xdr:row>6</xdr:row>
      <xdr:rowOff>36157</xdr:rowOff>
    </xdr:from>
    <xdr:to>
      <xdr:col>3</xdr:col>
      <xdr:colOff>360946</xdr:colOff>
      <xdr:row>7</xdr:row>
      <xdr:rowOff>154782</xdr:rowOff>
    </xdr:to>
    <xdr:sp macro="" textlink="">
      <xdr:nvSpPr>
        <xdr:cNvPr id="9" name="Rectá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A25A9FA-BF57-4AA3-8851-A440B8F6C300}"/>
            </a:ext>
          </a:extLst>
        </xdr:cNvPr>
        <xdr:cNvSpPr/>
      </xdr:nvSpPr>
      <xdr:spPr>
        <a:xfrm>
          <a:off x="3991506" y="1493482"/>
          <a:ext cx="360415" cy="3567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1163605</xdr:colOff>
      <xdr:row>6</xdr:row>
      <xdr:rowOff>26437</xdr:rowOff>
    </xdr:from>
    <xdr:to>
      <xdr:col>1</xdr:col>
      <xdr:colOff>1600977</xdr:colOff>
      <xdr:row>7</xdr:row>
      <xdr:rowOff>152790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2F1603-A75E-4FFF-9618-A4DAD30E588D}"/>
            </a:ext>
          </a:extLst>
        </xdr:cNvPr>
        <xdr:cNvSpPr/>
      </xdr:nvSpPr>
      <xdr:spPr>
        <a:xfrm>
          <a:off x="1277905" y="1483762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C</a:t>
          </a:r>
        </a:p>
      </xdr:txBody>
    </xdr:sp>
    <xdr:clientData/>
  </xdr:twoCellAnchor>
  <xdr:twoCellAnchor>
    <xdr:from>
      <xdr:col>1</xdr:col>
      <xdr:colOff>48597</xdr:colOff>
      <xdr:row>6</xdr:row>
      <xdr:rowOff>29158</xdr:rowOff>
    </xdr:from>
    <xdr:to>
      <xdr:col>1</xdr:col>
      <xdr:colOff>485969</xdr:colOff>
      <xdr:row>7</xdr:row>
      <xdr:rowOff>155511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C419EF-1636-4D93-9A85-98637A3301D5}"/>
            </a:ext>
          </a:extLst>
        </xdr:cNvPr>
        <xdr:cNvSpPr/>
      </xdr:nvSpPr>
      <xdr:spPr>
        <a:xfrm>
          <a:off x="162897" y="148648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A</a:t>
          </a:r>
        </a:p>
      </xdr:txBody>
    </xdr:sp>
    <xdr:clientData/>
  </xdr:twoCellAnchor>
  <xdr:twoCellAnchor>
    <xdr:from>
      <xdr:col>1</xdr:col>
      <xdr:colOff>599492</xdr:colOff>
      <xdr:row>6</xdr:row>
      <xdr:rowOff>26048</xdr:rowOff>
    </xdr:from>
    <xdr:to>
      <xdr:col>1</xdr:col>
      <xdr:colOff>1036864</xdr:colOff>
      <xdr:row>7</xdr:row>
      <xdr:rowOff>152401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8A17F7-3A43-4192-8A9D-05A0FC0123FD}"/>
            </a:ext>
          </a:extLst>
        </xdr:cNvPr>
        <xdr:cNvSpPr/>
      </xdr:nvSpPr>
      <xdr:spPr>
        <a:xfrm>
          <a:off x="713792" y="148337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B</a:t>
          </a:r>
        </a:p>
        <a:p>
          <a:pPr marL="0" indent="0" algn="ctr"/>
          <a:endParaRPr lang="es-PE" sz="1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2831841</xdr:colOff>
      <xdr:row>6</xdr:row>
      <xdr:rowOff>32658</xdr:rowOff>
    </xdr:from>
    <xdr:to>
      <xdr:col>1</xdr:col>
      <xdr:colOff>3269213</xdr:colOff>
      <xdr:row>7</xdr:row>
      <xdr:rowOff>159011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C84316-51C9-4230-9823-846BBF54CCDB}"/>
            </a:ext>
          </a:extLst>
        </xdr:cNvPr>
        <xdr:cNvSpPr/>
      </xdr:nvSpPr>
      <xdr:spPr>
        <a:xfrm>
          <a:off x="2946141" y="148998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F</a:t>
          </a:r>
        </a:p>
      </xdr:txBody>
    </xdr:sp>
    <xdr:clientData/>
  </xdr:twoCellAnchor>
  <xdr:twoCellAnchor>
    <xdr:from>
      <xdr:col>1</xdr:col>
      <xdr:colOff>2274725</xdr:colOff>
      <xdr:row>6</xdr:row>
      <xdr:rowOff>39266</xdr:rowOff>
    </xdr:from>
    <xdr:to>
      <xdr:col>1</xdr:col>
      <xdr:colOff>2712097</xdr:colOff>
      <xdr:row>7</xdr:row>
      <xdr:rowOff>165619</xdr:rowOff>
    </xdr:to>
    <xdr:sp macro="" textlink="">
      <xdr:nvSpPr>
        <xdr:cNvPr id="6" name="Rectá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EDD24C-FA79-4915-B9CC-207C820B7EE5}"/>
            </a:ext>
          </a:extLst>
        </xdr:cNvPr>
        <xdr:cNvSpPr/>
      </xdr:nvSpPr>
      <xdr:spPr>
        <a:xfrm>
          <a:off x="2389025" y="1496591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E</a:t>
          </a:r>
        </a:p>
      </xdr:txBody>
    </xdr:sp>
    <xdr:clientData/>
  </xdr:twoCellAnchor>
  <xdr:twoCellAnchor>
    <xdr:from>
      <xdr:col>1</xdr:col>
      <xdr:colOff>1733939</xdr:colOff>
      <xdr:row>6</xdr:row>
      <xdr:rowOff>42765</xdr:rowOff>
    </xdr:from>
    <xdr:to>
      <xdr:col>1</xdr:col>
      <xdr:colOff>2171311</xdr:colOff>
      <xdr:row>7</xdr:row>
      <xdr:rowOff>169118</xdr:rowOff>
    </xdr:to>
    <xdr:sp macro="" textlink="">
      <xdr:nvSpPr>
        <xdr:cNvPr id="7" name="Rectá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E6D66D6-6756-4D60-8E8C-1F040D0ADA7A}"/>
            </a:ext>
          </a:extLst>
        </xdr:cNvPr>
        <xdr:cNvSpPr/>
      </xdr:nvSpPr>
      <xdr:spPr>
        <a:xfrm>
          <a:off x="1848239" y="1500090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D</a:t>
          </a:r>
        </a:p>
      </xdr:txBody>
    </xdr:sp>
    <xdr:clientData/>
  </xdr:twoCellAnchor>
  <xdr:twoCellAnchor>
    <xdr:from>
      <xdr:col>2</xdr:col>
      <xdr:colOff>19828</xdr:colOff>
      <xdr:row>6</xdr:row>
      <xdr:rowOff>39267</xdr:rowOff>
    </xdr:from>
    <xdr:to>
      <xdr:col>2</xdr:col>
      <xdr:colOff>457200</xdr:colOff>
      <xdr:row>7</xdr:row>
      <xdr:rowOff>165620</xdr:rowOff>
    </xdr:to>
    <xdr:sp macro="" textlink="">
      <xdr:nvSpPr>
        <xdr:cNvPr id="8" name="Rectá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1F19F1-C937-4521-B4E0-7808C6E1588D}"/>
            </a:ext>
          </a:extLst>
        </xdr:cNvPr>
        <xdr:cNvSpPr/>
      </xdr:nvSpPr>
      <xdr:spPr>
        <a:xfrm>
          <a:off x="3477403" y="1496592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G</a:t>
          </a:r>
        </a:p>
      </xdr:txBody>
    </xdr:sp>
    <xdr:clientData/>
  </xdr:twoCellAnchor>
  <xdr:twoCellAnchor>
    <xdr:from>
      <xdr:col>3</xdr:col>
      <xdr:colOff>531</xdr:colOff>
      <xdr:row>6</xdr:row>
      <xdr:rowOff>36157</xdr:rowOff>
    </xdr:from>
    <xdr:to>
      <xdr:col>3</xdr:col>
      <xdr:colOff>360946</xdr:colOff>
      <xdr:row>7</xdr:row>
      <xdr:rowOff>154782</xdr:rowOff>
    </xdr:to>
    <xdr:sp macro="" textlink="">
      <xdr:nvSpPr>
        <xdr:cNvPr id="9" name="Rectá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AD88833-2A1D-4760-9030-7632730FD67B}"/>
            </a:ext>
          </a:extLst>
        </xdr:cNvPr>
        <xdr:cNvSpPr/>
      </xdr:nvSpPr>
      <xdr:spPr>
        <a:xfrm>
          <a:off x="3991506" y="1493482"/>
          <a:ext cx="360415" cy="3567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1163605</xdr:colOff>
      <xdr:row>6</xdr:row>
      <xdr:rowOff>26437</xdr:rowOff>
    </xdr:from>
    <xdr:to>
      <xdr:col>1</xdr:col>
      <xdr:colOff>1600977</xdr:colOff>
      <xdr:row>7</xdr:row>
      <xdr:rowOff>152790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512C4D-A164-4E95-96F4-0218142FBD87}"/>
            </a:ext>
          </a:extLst>
        </xdr:cNvPr>
        <xdr:cNvSpPr/>
      </xdr:nvSpPr>
      <xdr:spPr>
        <a:xfrm>
          <a:off x="1277905" y="1483762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C</a:t>
          </a:r>
        </a:p>
      </xdr:txBody>
    </xdr:sp>
    <xdr:clientData/>
  </xdr:twoCellAnchor>
  <xdr:twoCellAnchor>
    <xdr:from>
      <xdr:col>1</xdr:col>
      <xdr:colOff>48597</xdr:colOff>
      <xdr:row>6</xdr:row>
      <xdr:rowOff>29158</xdr:rowOff>
    </xdr:from>
    <xdr:to>
      <xdr:col>1</xdr:col>
      <xdr:colOff>485969</xdr:colOff>
      <xdr:row>7</xdr:row>
      <xdr:rowOff>155511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DFF958-D43C-4E3E-97D2-485846B6688F}"/>
            </a:ext>
          </a:extLst>
        </xdr:cNvPr>
        <xdr:cNvSpPr/>
      </xdr:nvSpPr>
      <xdr:spPr>
        <a:xfrm>
          <a:off x="162897" y="148648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A</a:t>
          </a:r>
        </a:p>
      </xdr:txBody>
    </xdr:sp>
    <xdr:clientData/>
  </xdr:twoCellAnchor>
  <xdr:twoCellAnchor>
    <xdr:from>
      <xdr:col>1</xdr:col>
      <xdr:colOff>599492</xdr:colOff>
      <xdr:row>6</xdr:row>
      <xdr:rowOff>26048</xdr:rowOff>
    </xdr:from>
    <xdr:to>
      <xdr:col>1</xdr:col>
      <xdr:colOff>1036864</xdr:colOff>
      <xdr:row>7</xdr:row>
      <xdr:rowOff>152401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B1623E-C325-4B78-8CB8-CE0E6A1445AA}"/>
            </a:ext>
          </a:extLst>
        </xdr:cNvPr>
        <xdr:cNvSpPr/>
      </xdr:nvSpPr>
      <xdr:spPr>
        <a:xfrm>
          <a:off x="713792" y="148337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B</a:t>
          </a:r>
        </a:p>
        <a:p>
          <a:pPr marL="0" indent="0" algn="ctr"/>
          <a:endParaRPr lang="es-PE" sz="1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2831841</xdr:colOff>
      <xdr:row>6</xdr:row>
      <xdr:rowOff>32658</xdr:rowOff>
    </xdr:from>
    <xdr:to>
      <xdr:col>1</xdr:col>
      <xdr:colOff>3269213</xdr:colOff>
      <xdr:row>7</xdr:row>
      <xdr:rowOff>159011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556E35-DC64-4C7F-AE78-063E8F545567}"/>
            </a:ext>
          </a:extLst>
        </xdr:cNvPr>
        <xdr:cNvSpPr/>
      </xdr:nvSpPr>
      <xdr:spPr>
        <a:xfrm>
          <a:off x="2946141" y="148998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F</a:t>
          </a:r>
        </a:p>
      </xdr:txBody>
    </xdr:sp>
    <xdr:clientData/>
  </xdr:twoCellAnchor>
  <xdr:twoCellAnchor>
    <xdr:from>
      <xdr:col>1</xdr:col>
      <xdr:colOff>2274725</xdr:colOff>
      <xdr:row>6</xdr:row>
      <xdr:rowOff>39266</xdr:rowOff>
    </xdr:from>
    <xdr:to>
      <xdr:col>1</xdr:col>
      <xdr:colOff>2712097</xdr:colOff>
      <xdr:row>7</xdr:row>
      <xdr:rowOff>165619</xdr:rowOff>
    </xdr:to>
    <xdr:sp macro="" textlink="">
      <xdr:nvSpPr>
        <xdr:cNvPr id="6" name="Rectá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87AB3F5-7629-4745-B7C3-5DEE3C16EC66}"/>
            </a:ext>
          </a:extLst>
        </xdr:cNvPr>
        <xdr:cNvSpPr/>
      </xdr:nvSpPr>
      <xdr:spPr>
        <a:xfrm>
          <a:off x="2389025" y="1496591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E</a:t>
          </a:r>
        </a:p>
      </xdr:txBody>
    </xdr:sp>
    <xdr:clientData/>
  </xdr:twoCellAnchor>
  <xdr:twoCellAnchor>
    <xdr:from>
      <xdr:col>1</xdr:col>
      <xdr:colOff>1733939</xdr:colOff>
      <xdr:row>6</xdr:row>
      <xdr:rowOff>42765</xdr:rowOff>
    </xdr:from>
    <xdr:to>
      <xdr:col>1</xdr:col>
      <xdr:colOff>2171311</xdr:colOff>
      <xdr:row>7</xdr:row>
      <xdr:rowOff>169118</xdr:rowOff>
    </xdr:to>
    <xdr:sp macro="" textlink="">
      <xdr:nvSpPr>
        <xdr:cNvPr id="7" name="Rectá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0D02E3-C9AB-4A4B-9F67-0095636B16E5}"/>
            </a:ext>
          </a:extLst>
        </xdr:cNvPr>
        <xdr:cNvSpPr/>
      </xdr:nvSpPr>
      <xdr:spPr>
        <a:xfrm>
          <a:off x="1848239" y="1500090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D</a:t>
          </a:r>
        </a:p>
      </xdr:txBody>
    </xdr:sp>
    <xdr:clientData/>
  </xdr:twoCellAnchor>
  <xdr:twoCellAnchor>
    <xdr:from>
      <xdr:col>2</xdr:col>
      <xdr:colOff>19828</xdr:colOff>
      <xdr:row>6</xdr:row>
      <xdr:rowOff>39267</xdr:rowOff>
    </xdr:from>
    <xdr:to>
      <xdr:col>2</xdr:col>
      <xdr:colOff>457200</xdr:colOff>
      <xdr:row>7</xdr:row>
      <xdr:rowOff>165620</xdr:rowOff>
    </xdr:to>
    <xdr:sp macro="" textlink="">
      <xdr:nvSpPr>
        <xdr:cNvPr id="8" name="Rectá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7B93F4-E5CB-485E-8EE5-E43B2663EC06}"/>
            </a:ext>
          </a:extLst>
        </xdr:cNvPr>
        <xdr:cNvSpPr/>
      </xdr:nvSpPr>
      <xdr:spPr>
        <a:xfrm>
          <a:off x="3477403" y="1496592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G</a:t>
          </a:r>
        </a:p>
      </xdr:txBody>
    </xdr:sp>
    <xdr:clientData/>
  </xdr:twoCellAnchor>
  <xdr:twoCellAnchor>
    <xdr:from>
      <xdr:col>3</xdr:col>
      <xdr:colOff>531</xdr:colOff>
      <xdr:row>6</xdr:row>
      <xdr:rowOff>36157</xdr:rowOff>
    </xdr:from>
    <xdr:to>
      <xdr:col>3</xdr:col>
      <xdr:colOff>360946</xdr:colOff>
      <xdr:row>7</xdr:row>
      <xdr:rowOff>154782</xdr:rowOff>
    </xdr:to>
    <xdr:sp macro="" textlink="">
      <xdr:nvSpPr>
        <xdr:cNvPr id="9" name="Rectá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4B2F837-1BAD-41DE-8CC8-34FCBB32373E}"/>
            </a:ext>
          </a:extLst>
        </xdr:cNvPr>
        <xdr:cNvSpPr/>
      </xdr:nvSpPr>
      <xdr:spPr>
        <a:xfrm>
          <a:off x="3991506" y="1493482"/>
          <a:ext cx="360415" cy="3567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1163605</xdr:colOff>
      <xdr:row>6</xdr:row>
      <xdr:rowOff>26437</xdr:rowOff>
    </xdr:from>
    <xdr:to>
      <xdr:col>1</xdr:col>
      <xdr:colOff>1600977</xdr:colOff>
      <xdr:row>7</xdr:row>
      <xdr:rowOff>152790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C9C401-C853-4324-8D9E-C3DD8154BB76}"/>
            </a:ext>
          </a:extLst>
        </xdr:cNvPr>
        <xdr:cNvSpPr/>
      </xdr:nvSpPr>
      <xdr:spPr>
        <a:xfrm>
          <a:off x="1277905" y="1483762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C</a:t>
          </a:r>
        </a:p>
      </xdr:txBody>
    </xdr:sp>
    <xdr:clientData/>
  </xdr:twoCellAnchor>
  <xdr:twoCellAnchor>
    <xdr:from>
      <xdr:col>1</xdr:col>
      <xdr:colOff>48597</xdr:colOff>
      <xdr:row>6</xdr:row>
      <xdr:rowOff>29158</xdr:rowOff>
    </xdr:from>
    <xdr:to>
      <xdr:col>1</xdr:col>
      <xdr:colOff>485969</xdr:colOff>
      <xdr:row>7</xdr:row>
      <xdr:rowOff>155511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CF0158-EC01-401F-9F5D-37456A4F126A}"/>
            </a:ext>
          </a:extLst>
        </xdr:cNvPr>
        <xdr:cNvSpPr/>
      </xdr:nvSpPr>
      <xdr:spPr>
        <a:xfrm>
          <a:off x="162897" y="148648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600" b="1"/>
            <a:t>A</a:t>
          </a:r>
        </a:p>
      </xdr:txBody>
    </xdr:sp>
    <xdr:clientData/>
  </xdr:twoCellAnchor>
  <xdr:twoCellAnchor>
    <xdr:from>
      <xdr:col>1</xdr:col>
      <xdr:colOff>599492</xdr:colOff>
      <xdr:row>6</xdr:row>
      <xdr:rowOff>26048</xdr:rowOff>
    </xdr:from>
    <xdr:to>
      <xdr:col>1</xdr:col>
      <xdr:colOff>1036864</xdr:colOff>
      <xdr:row>7</xdr:row>
      <xdr:rowOff>152401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E235FD-07D7-4B73-AB2B-7850EB7F57AF}"/>
            </a:ext>
          </a:extLst>
        </xdr:cNvPr>
        <xdr:cNvSpPr/>
      </xdr:nvSpPr>
      <xdr:spPr>
        <a:xfrm>
          <a:off x="713792" y="148337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B</a:t>
          </a:r>
        </a:p>
        <a:p>
          <a:pPr marL="0" indent="0" algn="ctr"/>
          <a:endParaRPr lang="es-PE" sz="1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2831841</xdr:colOff>
      <xdr:row>6</xdr:row>
      <xdr:rowOff>32658</xdr:rowOff>
    </xdr:from>
    <xdr:to>
      <xdr:col>1</xdr:col>
      <xdr:colOff>3269213</xdr:colOff>
      <xdr:row>7</xdr:row>
      <xdr:rowOff>159011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DCAE58-F959-4448-82B5-5924B7A83566}"/>
            </a:ext>
          </a:extLst>
        </xdr:cNvPr>
        <xdr:cNvSpPr/>
      </xdr:nvSpPr>
      <xdr:spPr>
        <a:xfrm>
          <a:off x="2946141" y="1489983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F</a:t>
          </a:r>
        </a:p>
      </xdr:txBody>
    </xdr:sp>
    <xdr:clientData/>
  </xdr:twoCellAnchor>
  <xdr:twoCellAnchor>
    <xdr:from>
      <xdr:col>1</xdr:col>
      <xdr:colOff>2274725</xdr:colOff>
      <xdr:row>6</xdr:row>
      <xdr:rowOff>39266</xdr:rowOff>
    </xdr:from>
    <xdr:to>
      <xdr:col>1</xdr:col>
      <xdr:colOff>2712097</xdr:colOff>
      <xdr:row>7</xdr:row>
      <xdr:rowOff>165619</xdr:rowOff>
    </xdr:to>
    <xdr:sp macro="" textlink="">
      <xdr:nvSpPr>
        <xdr:cNvPr id="6" name="Rectá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4F3AD5-8EE5-4101-BDF1-B9161DD678D1}"/>
            </a:ext>
          </a:extLst>
        </xdr:cNvPr>
        <xdr:cNvSpPr/>
      </xdr:nvSpPr>
      <xdr:spPr>
        <a:xfrm>
          <a:off x="2389025" y="1496591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E</a:t>
          </a:r>
        </a:p>
      </xdr:txBody>
    </xdr:sp>
    <xdr:clientData/>
  </xdr:twoCellAnchor>
  <xdr:twoCellAnchor>
    <xdr:from>
      <xdr:col>1</xdr:col>
      <xdr:colOff>1733939</xdr:colOff>
      <xdr:row>6</xdr:row>
      <xdr:rowOff>42765</xdr:rowOff>
    </xdr:from>
    <xdr:to>
      <xdr:col>1</xdr:col>
      <xdr:colOff>2171311</xdr:colOff>
      <xdr:row>7</xdr:row>
      <xdr:rowOff>169118</xdr:rowOff>
    </xdr:to>
    <xdr:sp macro="" textlink="">
      <xdr:nvSpPr>
        <xdr:cNvPr id="7" name="Rectá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3827354-921E-40DD-BB3E-F25D7F5C881F}"/>
            </a:ext>
          </a:extLst>
        </xdr:cNvPr>
        <xdr:cNvSpPr/>
      </xdr:nvSpPr>
      <xdr:spPr>
        <a:xfrm>
          <a:off x="1848239" y="1500090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D</a:t>
          </a:r>
        </a:p>
      </xdr:txBody>
    </xdr:sp>
    <xdr:clientData/>
  </xdr:twoCellAnchor>
  <xdr:twoCellAnchor>
    <xdr:from>
      <xdr:col>2</xdr:col>
      <xdr:colOff>19828</xdr:colOff>
      <xdr:row>6</xdr:row>
      <xdr:rowOff>39267</xdr:rowOff>
    </xdr:from>
    <xdr:to>
      <xdr:col>2</xdr:col>
      <xdr:colOff>457200</xdr:colOff>
      <xdr:row>7</xdr:row>
      <xdr:rowOff>165620</xdr:rowOff>
    </xdr:to>
    <xdr:sp macro="" textlink="">
      <xdr:nvSpPr>
        <xdr:cNvPr id="8" name="Rectá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38DC23-B32C-4169-9E3A-18EB466C0CE0}"/>
            </a:ext>
          </a:extLst>
        </xdr:cNvPr>
        <xdr:cNvSpPr/>
      </xdr:nvSpPr>
      <xdr:spPr>
        <a:xfrm>
          <a:off x="3477403" y="1496592"/>
          <a:ext cx="437372" cy="3644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G</a:t>
          </a:r>
        </a:p>
      </xdr:txBody>
    </xdr:sp>
    <xdr:clientData/>
  </xdr:twoCellAnchor>
  <xdr:twoCellAnchor>
    <xdr:from>
      <xdr:col>3</xdr:col>
      <xdr:colOff>531</xdr:colOff>
      <xdr:row>6</xdr:row>
      <xdr:rowOff>36157</xdr:rowOff>
    </xdr:from>
    <xdr:to>
      <xdr:col>3</xdr:col>
      <xdr:colOff>360946</xdr:colOff>
      <xdr:row>7</xdr:row>
      <xdr:rowOff>154782</xdr:rowOff>
    </xdr:to>
    <xdr:sp macro="" textlink="">
      <xdr:nvSpPr>
        <xdr:cNvPr id="9" name="Rectá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55EBFB7-D446-4B7A-8FD8-676070529B3B}"/>
            </a:ext>
          </a:extLst>
        </xdr:cNvPr>
        <xdr:cNvSpPr/>
      </xdr:nvSpPr>
      <xdr:spPr>
        <a:xfrm>
          <a:off x="3991506" y="1493482"/>
          <a:ext cx="360415" cy="3567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PE" sz="1600" b="1">
              <a:solidFill>
                <a:schemeClr val="lt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7AFF7-ABB8-4121-B5B1-D7C9F6B29800}" name="STOCK6876849210010811612413214014813215616417218018815616417219620421222022823624425226026827628429230030831632433234346354362370378" displayName="STOCK6876849210010811612413214014813215616417218018815616417219620421222022823624425226026827628429230030831632433234346354362370378" ref="B9:R23" totalsRowShown="0" headerRowDxfId="1319" dataDxfId="1317" totalsRowDxfId="1315" headerRowBorderDxfId="1318" tableBorderDxfId="1316" totalsRowBorderDxfId="1314">
  <autoFilter ref="B9:R23" xr:uid="{00000000-0009-0000-0100-000001000000}"/>
  <tableColumns count="17">
    <tableColumn id="1" xr3:uid="{5B131D2A-4651-432E-A2A2-029CA45E9CC6}" name="SALON A" dataDxfId="1313" totalsRowDxfId="1312"/>
    <tableColumn id="2" xr3:uid="{E4FFED48-F91F-42E2-9468-21ABBC24DEBE}" name="CODIGO DE VENTA" dataDxfId="1311" totalsRowDxfId="1310"/>
    <tableColumn id="19" xr3:uid="{500540A1-8B41-4BD3-BB1F-728238132103}" name="INVENTARIO INICIAL" dataDxfId="1309" totalsRowDxfId="1308"/>
    <tableColumn id="6" xr3:uid="{D1DB5CF3-7D05-4EDB-94C3-6511C2E7007A}" name="STOCK" dataDxfId="1307">
      <calculatedColumnFormula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calculatedColumnFormula>
    </tableColumn>
    <tableColumn id="3" xr3:uid="{10F0AD3F-1F0B-46FD-8CD1-DBA50B51BC5D}" name="INGRESO LUNES" dataDxfId="1306" totalsRowDxfId="1305"/>
    <tableColumn id="18" xr3:uid="{EE28F746-31D6-4AC8-91A0-6EF971224703}" name="VENTA    LUNES" dataDxfId="1304" totalsRowDxfId="1303"/>
    <tableColumn id="17" xr3:uid="{15553D20-8D7C-4409-9751-89D0AB1C8F53}" name="INGRESO MARTES" dataDxfId="1302" totalsRowDxfId="1301"/>
    <tableColumn id="16" xr3:uid="{E0EABCF8-6886-4D41-8635-2C80DEE4A4BF}" name="VENTA MARTES" dataDxfId="1300" totalsRowDxfId="1299"/>
    <tableColumn id="15" xr3:uid="{207426E0-818C-4443-9DE5-FA5FADA462D9}" name="INGRESO MIERCOLES" dataDxfId="1298" totalsRowDxfId="1297"/>
    <tableColumn id="14" xr3:uid="{84C1C817-FC14-4959-9AF8-F1449F0776FB}" name="VENTA MIERCOLES" dataDxfId="1296" totalsRowDxfId="1295"/>
    <tableColumn id="13" xr3:uid="{91ABFA87-51DE-437C-BE88-8484FFB3ED5E}" name="INGRESO JUEVES" dataDxfId="1294" totalsRowDxfId="1293"/>
    <tableColumn id="12" xr3:uid="{130F9E01-636C-4021-BF65-18E354A75EE9}" name="VENTA JUEVES" dataDxfId="1292" totalsRowDxfId="1291"/>
    <tableColumn id="11" xr3:uid="{88923387-A3BC-49B3-8064-C07EF06BEDD5}" name="INGRESO VIERNES" dataDxfId="1290" totalsRowDxfId="1289"/>
    <tableColumn id="10" xr3:uid="{EA5E5C92-2976-4AB0-8D31-BB3BDC5813D9}" name="VENTA VIERNES" dataDxfId="1288" totalsRowDxfId="1287"/>
    <tableColumn id="9" xr3:uid="{DC3A2284-849B-4581-9FA4-84323DD15CEE}" name=" INGRESO SABADO" dataDxfId="1286" totalsRowDxfId="1285"/>
    <tableColumn id="8" xr3:uid="{8CAE2EC6-E8D9-4E5A-A3FA-148783E1FA6E}" name="VENTA SABADO" dataDxfId="1284" totalsRowDxfId="1283"/>
    <tableColumn id="7" xr3:uid="{1E1CCC00-5B3C-4B4F-810E-157E913078FC}" name="VENTA SEMANAL" dataDxfId="1282" totalsRowDxfId="1281">
      <calculatedColumnFormula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9FBE7-0A23-41B1-B02E-6629657EAF39}" name="Tabla13111927374553616977859310110911712513314114913315716517318118915716517319720521322122923724525326126927728529330130931732533335347355363371379" displayName="Tabla13111927374553616977859310110911712513314114913315716517318118915716517319720521322122923724525326126927728529330130931732533335347355363371379" ref="B25:R56" totalsRowShown="0" headerRowDxfId="1280" dataDxfId="1279" totalsRowDxfId="1277" tableBorderDxfId="1278">
  <autoFilter ref="B25:R56" xr:uid="{15BAFCEE-E72F-4E0E-AE76-1DFB3C3F5C2F}"/>
  <tableColumns count="17">
    <tableColumn id="1" xr3:uid="{8DD5AB4A-D1C1-4A0D-96B6-98863EBBC2AE}" name="SALON B" dataDxfId="1276"/>
    <tableColumn id="2" xr3:uid="{3B8403DD-CFE7-425C-8965-DA45E3CCF568}" name="CODIGO DE VENTA" dataDxfId="1275"/>
    <tableColumn id="17" xr3:uid="{733643FB-C222-454B-B554-5D7CEB87190C}" name="INVENTARIO INICIAL" dataDxfId="1274"/>
    <tableColumn id="6" xr3:uid="{F23F84AD-728D-40D2-BDEA-75B709AF3359}" name="STOCK" dataDxfId="1273">
      <calculatedColumnFormula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calculatedColumnFormula>
    </tableColumn>
    <tableColumn id="3" xr3:uid="{1AE4E59F-ACF9-46DC-9039-43CF161DB431}" name="INGRESO LUNES" dataDxfId="1272"/>
    <tableColumn id="4" xr3:uid="{DFE8B2E1-740F-44E4-AC87-41EF3DA58D6C}" name="VENTA LUNES" dataDxfId="1271" totalsRowDxfId="1270"/>
    <tableColumn id="5" xr3:uid="{B39FDA72-148C-4AED-8210-6762FE7625AE}" name="INGRESO MARTES" dataDxfId="1269" totalsRowDxfId="1268"/>
    <tableColumn id="7" xr3:uid="{794F3264-0D2F-4095-A9BB-B1CD09CFA41E}" name="VENTA MARTES" dataDxfId="1267"/>
    <tableColumn id="8" xr3:uid="{40D8B144-35F1-4466-85D1-655845372D2E}" name="INGRESO MIERCOLES" dataDxfId="1266"/>
    <tableColumn id="9" xr3:uid="{5A5FAA65-FC74-47BC-8BFD-28A487913CC5}" name="VENTA MIERCOLES" dataDxfId="1265"/>
    <tableColumn id="10" xr3:uid="{EC89A685-58BB-491C-9B70-93B11E4A7B2B}" name="INGRESO JUEVES" dataDxfId="1264"/>
    <tableColumn id="11" xr3:uid="{C213864C-2154-41C6-B50E-E577A138A435}" name="VENTA JUEVES" dataDxfId="1263"/>
    <tableColumn id="12" xr3:uid="{886F0871-36B1-4763-B17F-A2B96FCE570D}" name="INGRESO VIERNES" dataDxfId="1262"/>
    <tableColumn id="13" xr3:uid="{DA60D497-23A9-46F1-BA1B-288311C50D3F}" name="VENTA VIERNES" dataDxfId="1261"/>
    <tableColumn id="14" xr3:uid="{2DF4C24E-2568-4FB2-807F-B29AE4C00D8D}" name=" INGRESO SABADO" dataDxfId="1260"/>
    <tableColumn id="15" xr3:uid="{59F7CE18-84A9-428D-BA61-DEDD03EECC55}" name="VENTA SABADO" dataDxfId="1259"/>
    <tableColumn id="16" xr3:uid="{480434CC-B057-4028-ABA7-8A72F0EF4FA4}" name="VENTA SEMANAL" dataDxfId="1258" totalsRowDxfId="1257">
      <calculatedColumnFormula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804B45-2742-4347-A5B8-BC701A735EFD}" name="Tabla1341220283846546270788694102110118126134142150134158166174182190158166174198206214222230238246254262270278286294302310318326334340348356364372380" displayName="Tabla1341220283846546270788694102110118126134142150134158166174182190158166174198206214222230238246254262270278286294302310318326334340348356364372380" ref="B58:R96" totalsRowShown="0" headerRowDxfId="1256" totalsRowDxfId="1254" tableBorderDxfId="1255">
  <autoFilter ref="B58:R96" xr:uid="{63FA84B0-D74F-4CBD-85BD-3759E1F4F2A1}"/>
  <tableColumns count="17">
    <tableColumn id="1" xr3:uid="{B10A14B2-7288-4F2E-B8AC-98240362EC2B}" name="SALON C" dataDxfId="1253"/>
    <tableColumn id="2" xr3:uid="{7DAF978E-58EC-4E6B-BAF3-6851A2D46134}" name="CODIGO DE VENTA" dataDxfId="1252"/>
    <tableColumn id="17" xr3:uid="{A24667C1-AC9C-4870-BF34-CC0A1E52536B}" name="INVENTARIO INICIAL" dataDxfId="1251"/>
    <tableColumn id="6" xr3:uid="{B0439977-4158-43CF-A901-88D5506C0791}" name="STOCK" dataDxfId="1250">
      <calculatedColumnFormula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calculatedColumnFormula>
    </tableColumn>
    <tableColumn id="3" xr3:uid="{F496507D-C351-4B9A-80C9-78F9DD85EA22}" name="INGRESO LUNES" dataDxfId="1249"/>
    <tableColumn id="4" xr3:uid="{4FE3EF31-02BC-477D-A650-A3D6C0120051}" name="VENTA LUNES" dataDxfId="1248"/>
    <tableColumn id="5" xr3:uid="{7B20A560-D2ED-425F-B0F9-896412BEB1E0}" name="INGRESO MARTES" dataDxfId="1247"/>
    <tableColumn id="7" xr3:uid="{22296C67-31C3-4BEE-B1B6-70FACCBB3B5D}" name="VENTA MARTES" dataDxfId="1246"/>
    <tableColumn id="8" xr3:uid="{5E667868-AA4A-44A8-B13B-95B16CA5CFB2}" name="INGRESO MIERCOLES" dataDxfId="1245"/>
    <tableColumn id="9" xr3:uid="{0939EE44-4B2D-42A8-97B7-434E1D234C11}" name="VENTA MIERCOLES" dataDxfId="1244"/>
    <tableColumn id="10" xr3:uid="{18066BA0-414E-43C6-BC3F-9CA50F302947}" name="INGRESO JUEVES" dataDxfId="1243"/>
    <tableColumn id="11" xr3:uid="{91189B45-6FC7-45ED-AA1D-9D62E5C54BD7}" name="VENTA JUEVES" dataDxfId="1242"/>
    <tableColumn id="12" xr3:uid="{863A0483-84E0-4741-AB09-B60C0FCA89D0}" name="INGRESO VIERNES" dataDxfId="1241"/>
    <tableColumn id="13" xr3:uid="{AA1A584E-377D-46BE-9A36-A5F6CA7054AF}" name="VENTA VIERNES" dataDxfId="1240"/>
    <tableColumn id="14" xr3:uid="{9752C039-2DD0-43B0-9DB1-3F8D445FEC6F}" name=" INGRESO SABADO" dataDxfId="1239"/>
    <tableColumn id="15" xr3:uid="{4DF97BE3-41FA-43F2-BA28-F9C99ED4926D}" name="VENTA SABADO" dataDxfId="1238"/>
    <tableColumn id="16" xr3:uid="{BE269019-717D-45FA-BDD0-36973E0CD977}" name="VENTA SEMANAL" dataDxfId="1237">
      <calculatedColumnFormula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B628BA-BE60-4064-A294-06A9A3EE2B1C}" name="Tabla13461321293947556371798795103111119127135143151135159167175183191159167175199207215223231239247255263271279287295303311319327335341349357365373381" displayName="Tabla13461321293947556371798795103111119127135143151135159167175183191159167175199207215223231239247255263271279287295303311319327335341349357365373381" ref="B98:R134" totalsRowShown="0" headerRowDxfId="1236" dataDxfId="1235" totalsRowDxfId="1233" tableBorderDxfId="1234">
  <autoFilter ref="B98:R134" xr:uid="{3645459F-BBF3-4783-8454-E0A96E467B27}"/>
  <tableColumns count="17">
    <tableColumn id="1" xr3:uid="{6B56CF7B-2CDD-44A4-93AD-52766D3AC1FF}" name="SALON D" dataDxfId="1232"/>
    <tableColumn id="2" xr3:uid="{7E7493C8-C009-4947-BE0B-C24B28735424}" name="CODIGO DE VENTA" dataDxfId="1231"/>
    <tableColumn id="17" xr3:uid="{22C727ED-4579-48C6-BC0E-A25B6D062411}" name="INVENTARIO INICIAL" dataDxfId="1230"/>
    <tableColumn id="6" xr3:uid="{3E88C7C6-D313-4CF6-86E2-4BFC609CCCF6}" name="STOCK" dataDxfId="1229">
      <calculatedColumnFormula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calculatedColumnFormula>
    </tableColumn>
    <tableColumn id="3" xr3:uid="{B97C3344-F436-4CE0-8AE6-11C19962DE32}" name="INGRESO LUNES" dataDxfId="1228"/>
    <tableColumn id="4" xr3:uid="{246D9770-9B7D-43C6-A0C5-7F38E003C715}" name="VENTA LUNES" dataDxfId="1227" totalsRowDxfId="1226"/>
    <tableColumn id="5" xr3:uid="{523F2240-4D38-4606-BF31-5DB1ED277DDF}" name="INGRESO MARTES" dataDxfId="1225" totalsRowDxfId="1224"/>
    <tableColumn id="7" xr3:uid="{D2BD7C8D-6210-40E3-97F0-A4AE2BC98F85}" name="VENTA MARTES" dataDxfId="1223" totalsRowDxfId="1222"/>
    <tableColumn id="8" xr3:uid="{371C0925-FF10-4A79-93F1-46A6220192DA}" name="INGRESO MIERCOLES" dataDxfId="1221" totalsRowDxfId="1220"/>
    <tableColumn id="9" xr3:uid="{D63B415E-2B73-45EB-9581-987D4F708D42}" name="VENTA MIERCOLES" dataDxfId="1219" totalsRowDxfId="1218"/>
    <tableColumn id="10" xr3:uid="{600EB232-F9A1-4F16-949D-9360F4249D54}" name="INGRESO JUEVES" dataDxfId="1217" totalsRowDxfId="1216"/>
    <tableColumn id="11" xr3:uid="{4FC5C831-011F-4A19-8D5A-0CA9878E713D}" name="VENTA JUEVES" dataDxfId="1215" totalsRowDxfId="1214"/>
    <tableColumn id="12" xr3:uid="{937F3528-6B56-4239-8B01-B3080ADE41A1}" name="INGRESO VIERNES" dataDxfId="1213" totalsRowDxfId="1212"/>
    <tableColumn id="13" xr3:uid="{0E9D540E-2EDB-4C65-B721-36CBAFAC02C1}" name="VENTA VIERNES" dataDxfId="1211" totalsRowDxfId="1210"/>
    <tableColumn id="14" xr3:uid="{0F46AB38-0BEB-407C-9D03-137DF0CE6884}" name=" INGRESO SABADO" dataDxfId="1209" totalsRowDxfId="1208"/>
    <tableColumn id="15" xr3:uid="{06DF0151-FB51-47AC-89DF-1D10437CC5BD}" name="VENTA SABADO" dataDxfId="1207" totalsRowDxfId="1206"/>
    <tableColumn id="16" xr3:uid="{AFDDCB3B-D719-4A69-8E31-2DC66ABBAA4E}" name="VENTA SEMANAL" dataDxfId="1205" totalsRowDxfId="1204">
      <calculatedColumnFormula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calculatedColumnFormula>
    </tableColumn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1939D5-23DE-48E5-8384-F414CA586932}" name="Tabla134671422304048566472808896104112120128136144152136160168176184192160168176200208216224232240248256264272280288296304312320328336342350358366374382" displayName="Tabla134671422304048566472808896104112120128136144152136160168176184192160168176200208216224232240248256264272280288296304312320328336342350358366374382" ref="B136:R151" totalsRowShown="0" headerRowDxfId="1203" dataDxfId="1202" totalsRowDxfId="1200" tableBorderDxfId="1201">
  <autoFilter ref="B136:R151" xr:uid="{D869367D-8E32-4085-AC49-828DDEF66650}"/>
  <tableColumns count="17">
    <tableColumn id="1" xr3:uid="{6460FC15-238C-4F28-B5B5-AE3F625B7F81}" name="SALON E" dataDxfId="1199"/>
    <tableColumn id="2" xr3:uid="{18BF6C1E-9F04-47DE-BABE-61C096C97E4E}" name="CODIGO DE VENTA" dataDxfId="1198"/>
    <tableColumn id="17" xr3:uid="{00CB7DCE-B6A1-4EEE-86BD-5A5F3A024B28}" name="INVENTARIO INICIAL" dataDxfId="1197"/>
    <tableColumn id="6" xr3:uid="{9E116934-74A7-428A-B0F9-0BBB3455D10C}" name="STOCK" dataDxfId="1196">
      <calculatedColumnFormula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calculatedColumnFormula>
    </tableColumn>
    <tableColumn id="3" xr3:uid="{0B1E7CBE-A622-4CAA-85D4-809CD9AD0F42}" name="INGRESO LUNES" dataDxfId="1195"/>
    <tableColumn id="4" xr3:uid="{E299C1CA-E36F-4643-AAD1-AB6A032C0525}" name="VENTA LUNES" dataDxfId="1194"/>
    <tableColumn id="5" xr3:uid="{CC38F2BD-63BF-4249-A465-2E931FFA2663}" name="INGRESO MARTES" dataDxfId="1193"/>
    <tableColumn id="7" xr3:uid="{6B59576B-0891-4302-8660-5D20697FE32E}" name="VENTA MARTES" dataDxfId="1192"/>
    <tableColumn id="8" xr3:uid="{7086BCFF-71A4-4DD1-A90B-A93563E7CBD3}" name="INGRESO MIERCOLES" dataDxfId="1191"/>
    <tableColumn id="9" xr3:uid="{82F04886-4FA4-499E-AD63-360913BD2FD1}" name="VENTA MIERCOLES" dataDxfId="1190"/>
    <tableColumn id="10" xr3:uid="{21C1F1A8-03DF-4712-A1DC-4EAD42670DA0}" name="INGRESO JUEVES" dataDxfId="1189"/>
    <tableColumn id="11" xr3:uid="{DD2C6751-7E48-41DC-949B-A2CDFA1B056C}" name="VENTA JUEVES" dataDxfId="1188"/>
    <tableColumn id="12" xr3:uid="{F3912D66-FA61-45EF-824E-05A44C3450A3}" name="INGRESO VIERNES" dataDxfId="1187"/>
    <tableColumn id="13" xr3:uid="{A81E49AE-7F99-4296-9439-4ED876C790AF}" name="VENTA VIERNES" dataDxfId="1186"/>
    <tableColumn id="14" xr3:uid="{E1297B07-3EFE-49BD-A8E7-3E888429D2DB}" name=" INGRESO SABADO" dataDxfId="1185"/>
    <tableColumn id="15" xr3:uid="{4C7825BD-9D32-4432-B400-A17BCC6DC3E9}" name="VENTA SABADO" dataDxfId="1184"/>
    <tableColumn id="16" xr3:uid="{7CA1C3C4-EB2B-44A3-9244-94DA1678A205}" name="VENTA SEMANAL" dataDxfId="1183">
      <calculatedColumnFormula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calculatedColumnFormula>
    </tableColumn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FE1CBF-BAB8-4D48-8F47-7AC99E51F740}" name="Tabla134681523314149576573818997105113121129137145153137161169177185193161169177201209217225233241249257265273281289297305313321329337343351359367375383" displayName="Tabla134681523314149576573818997105113121129137145153137161169177185193161169177201209217225233241249257265273281289297305313321329337343351359367375383" ref="B153:R193" totalsRowShown="0" headerRowDxfId="1182" dataDxfId="1181" totalsRowDxfId="1179" tableBorderDxfId="1180">
  <autoFilter ref="B153:R193" xr:uid="{0D12A3DE-A04A-46C3-84D3-310CEE70C113}"/>
  <tableColumns count="17">
    <tableColumn id="1" xr3:uid="{78517CA7-2A3A-4DD2-BAF7-83A799A9DF6B}" name="SALON F" dataDxfId="1178"/>
    <tableColumn id="2" xr3:uid="{C0A58D87-46BC-48B8-9646-0FFB49B6629F}" name="CODIGO DE VENTA" dataDxfId="1177"/>
    <tableColumn id="18" xr3:uid="{938BC2DF-6D85-46EF-BCEA-F65423FFD892}" name="INVENTARIO INICIAL" dataDxfId="1176"/>
    <tableColumn id="19" xr3:uid="{0C251662-1C66-41A9-AC23-B123BDD9CD93}" name="STOCK" dataDxfId="1175" totalsRowDxfId="1174">
      <calculatedColumnFormula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calculatedColumnFormula>
    </tableColumn>
    <tableColumn id="20" xr3:uid="{C8D3CD51-A3AB-4FEA-90EF-F9C433DF328D}" name="INGRESO LUNES" dataDxfId="1173" totalsRowDxfId="1172"/>
    <tableColumn id="21" xr3:uid="{9ABEEB54-9196-4A53-8F38-B92F72B11CD4}" name="VENTA LUNES" dataDxfId="1171" totalsRowDxfId="1170"/>
    <tableColumn id="22" xr3:uid="{A478EDDF-E7F3-412E-9FBB-474635C08966}" name="INGRESO MARTES" dataDxfId="1169" totalsRowDxfId="1168"/>
    <tableColumn id="23" xr3:uid="{CBE0F455-D32D-43F3-A456-0B1F2158F762}" name="VENTA MARTES" dataDxfId="1167" totalsRowDxfId="1166"/>
    <tableColumn id="24" xr3:uid="{22755B84-9E2D-4AC3-94F8-119E30A3AEB9}" name="INGRESO MIERCOLES" dataDxfId="1165" totalsRowDxfId="1164"/>
    <tableColumn id="25" xr3:uid="{21E7BCE6-C76B-4816-9101-2F3A36D1E207}" name="VENTA MIERCOLES" dataDxfId="1163" totalsRowDxfId="1162"/>
    <tableColumn id="26" xr3:uid="{2F3BDA30-DCC0-4A33-BCCD-3F9AF9BE8A57}" name="INGRESO JUEVES" dataDxfId="1161" totalsRowDxfId="1160"/>
    <tableColumn id="27" xr3:uid="{89544CE5-FC5D-4A40-BD03-4AFD099CB5FA}" name="VENTA JUEVES" dataDxfId="1159" totalsRowDxfId="1158"/>
    <tableColumn id="28" xr3:uid="{DDFE0164-4F0C-4B00-9C9A-4E0D76E115E7}" name="INGRESO VIERNES" dataDxfId="1157" totalsRowDxfId="1156"/>
    <tableColumn id="29" xr3:uid="{228A79F0-A8DC-4A44-9D60-B1291C371929}" name="VENTA VIERNES" dataDxfId="1155" totalsRowDxfId="1154"/>
    <tableColumn id="30" xr3:uid="{D2B55FA9-5983-4BC4-B017-69E5F54ED3D0}" name=" INGRESO SABADO" dataDxfId="1153" totalsRowDxfId="1152"/>
    <tableColumn id="31" xr3:uid="{36A50238-DA9C-4ACB-9AB8-80B16EB8F0F1}" name="VENTA SABADO" dataDxfId="1151" totalsRowDxfId="1150"/>
    <tableColumn id="32" xr3:uid="{A416DB00-1172-4BC8-812E-204AD86FD6E7}" name="VENTA SEMANAL" dataDxfId="1149" totalsRowDxfId="1148">
      <calculatedColumnFormula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D8321A-FD5B-4E67-AC46-072CE7F94E68}" name="Tabla1346891624324250586674829098106114122130138146154138162170178186194162170178202210218226234242250258266274282290298306314322330338344352360368376384" displayName="Tabla1346891624324250586674829098106114122130138146154138162170178186194162170178202210218226234242250258266274282290298306314322330338344352360368376384" ref="B195:R241" totalsRowShown="0" headerRowDxfId="1147" dataDxfId="1146" totalsRowDxfId="1144" tableBorderDxfId="1145">
  <autoFilter ref="B195:R241" xr:uid="{FB91264E-6878-4532-AA11-1B27A6D4908D}"/>
  <tableColumns count="17">
    <tableColumn id="1" xr3:uid="{C59C19E6-E991-4DFF-B196-E9DBC415CF22}" name="SALON G" dataDxfId="1143"/>
    <tableColumn id="2" xr3:uid="{29C47112-A768-4A1A-AA0C-CEB410D653CE}" name="CODIGO DE VENTA" dataDxfId="1142"/>
    <tableColumn id="18" xr3:uid="{15DBA5DF-A880-4CC4-A3F5-5C0EF69A6102}" name="INVENTARIO INICIAL" dataDxfId="1141"/>
    <tableColumn id="19" xr3:uid="{F3C15258-0B38-46F5-B3A4-D78AC5C54DFF}" name="STOCK" dataDxfId="1140" totalsRowDxfId="1139">
      <calculatedColumnFormula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calculatedColumnFormula>
    </tableColumn>
    <tableColumn id="20" xr3:uid="{126F5439-5E29-4FAD-A792-04A708438F5E}" name="INGRESO LUNES" dataDxfId="1138" totalsRowDxfId="1137"/>
    <tableColumn id="21" xr3:uid="{1545536B-7D11-4CFF-BBDA-7927A6488066}" name="VENTA LUNES" dataDxfId="1136" totalsRowDxfId="1135"/>
    <tableColumn id="22" xr3:uid="{A97926E3-FF60-420C-89DC-C07473722402}" name="INGRESO MARTES" dataDxfId="1134" totalsRowDxfId="1133"/>
    <tableColumn id="23" xr3:uid="{17884D17-E3D9-4985-8F66-CC931D98D9E9}" name="VENTA MARTES" dataDxfId="1132" totalsRowDxfId="1131"/>
    <tableColumn id="24" xr3:uid="{3BCAF1B8-016A-4F2C-AB67-83108D7BD163}" name="INGRESO MIERCOLES" dataDxfId="1130" totalsRowDxfId="1129"/>
    <tableColumn id="25" xr3:uid="{2C2671FF-785B-485B-BE76-D6458CF1B625}" name="VENTA MIERCOLES" dataDxfId="1128" totalsRowDxfId="1127"/>
    <tableColumn id="26" xr3:uid="{E176E486-D914-4051-97F3-B8B3F1CEB1D0}" name="INGRESO JUEVES" dataDxfId="1126" totalsRowDxfId="1125"/>
    <tableColumn id="27" xr3:uid="{1C3D3D20-0E4E-46CB-96FF-3D6DE9A78223}" name="VENTA JUEVES" dataDxfId="1124" totalsRowDxfId="1123"/>
    <tableColumn id="28" xr3:uid="{EE701C59-C1FA-4AEC-9777-430F09B405F4}" name="INGRESO VIERNES" dataDxfId="1122" totalsRowDxfId="1121"/>
    <tableColumn id="29" xr3:uid="{1F5690B7-6A6E-4585-A353-3B4B8B1E62F8}" name="SALIDA VIERNES" dataDxfId="1120" totalsRowDxfId="1119"/>
    <tableColumn id="30" xr3:uid="{BF5D51A3-A2BC-465D-949F-E37C7155F0E6}" name="INGRESO SABADO" dataDxfId="1118" totalsRowDxfId="1117"/>
    <tableColumn id="31" xr3:uid="{84497F8C-AB8B-4940-9541-03700B7899BB}" name="SALIDA SABADO" dataDxfId="1116" totalsRowDxfId="1115"/>
    <tableColumn id="32" xr3:uid="{836CD3ED-FC44-490C-98D8-E4E279772465}" name="VENTA SEMANAL" dataDxfId="1114" totalsRowDxfId="1113">
      <calculatedColumnFormula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calculatedColumnFormula>
    </tableColumn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B71266-5F28-495C-B035-4477D250B140}" name="Tabla134689101725334351596775839199107115123131139147155139163171179187195163171179203211219227235243251259267275283291299307315323331339345353361369377385" displayName="Tabla134689101725334351596775839199107115123131139147155139163171179187195163171179203211219227235243251259267275283291299307315323331339345353361369377385" ref="B243:R264" totalsRowShown="0" headerRowDxfId="1112" dataDxfId="1111" totalsRowDxfId="1109" tableBorderDxfId="1110">
  <autoFilter ref="B243:R264" xr:uid="{B2CF9012-6841-4AFF-BBE6-666A0408F258}"/>
  <tableColumns count="17">
    <tableColumn id="1" xr3:uid="{79ED8A58-8ED6-4F86-BD24-5A50DB1ED31E}" name="SALON H" dataDxfId="1108"/>
    <tableColumn id="2" xr3:uid="{297DF454-933D-4D3A-BD64-50C6515C9519}" name="CODIGO DE VENTA" dataDxfId="1107"/>
    <tableColumn id="17" xr3:uid="{DD8BB255-2BF7-4123-9390-9F31608A0055}" name="INVENTARIO INICIAL" dataDxfId="1106"/>
    <tableColumn id="6" xr3:uid="{4203A057-F437-4107-8AA8-9BA03CBEBEAF}" name="STOCK" dataDxfId="1105">
      <calculatedColumnFormula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calculatedColumnFormula>
    </tableColumn>
    <tableColumn id="3" xr3:uid="{D4437D03-AC4F-40B7-A8B1-E6D331DCCE48}" name="INGRESO LUNES" dataDxfId="1104"/>
    <tableColumn id="4" xr3:uid="{CD52459D-F2A4-4908-B713-1C115FCC22B2}" name="VENTA LUNES" dataDxfId="1103" totalsRowDxfId="1102"/>
    <tableColumn id="5" xr3:uid="{AF9FF99F-99EB-416E-8FCB-53DF3EFFA92D}" name="INGRESO MARTES" dataDxfId="1101" totalsRowDxfId="1100"/>
    <tableColumn id="7" xr3:uid="{1B50386F-7C49-4E6A-9BE2-06812629DB74}" name="VENTA MARTES" dataDxfId="1099" totalsRowDxfId="1098"/>
    <tableColumn id="8" xr3:uid="{DDAFA2A5-30A0-415E-863D-557D1A0EAF6B}" name="INGRESO MIERCOLES" dataDxfId="1097" totalsRowDxfId="1096"/>
    <tableColumn id="9" xr3:uid="{435D54F2-DE0F-4E8E-A1A6-4C778965FCA7}" name="VENTA MIERCOLES" dataDxfId="1095" totalsRowDxfId="1094"/>
    <tableColumn id="10" xr3:uid="{D62B8376-8764-4656-A9AB-AA77F796F449}" name="INGRESO JUEVES" dataDxfId="1093" totalsRowDxfId="1092"/>
    <tableColumn id="11" xr3:uid="{4FF801EC-5F2F-4951-A82F-697B315AC5B4}" name="VENTA JUEVES" dataDxfId="1091" totalsRowDxfId="1090"/>
    <tableColumn id="12" xr3:uid="{792086F8-D53B-4F10-A712-F1B70FD4FA72}" name="INGRESO VIERNES" dataDxfId="1089" totalsRowDxfId="1088"/>
    <tableColumn id="13" xr3:uid="{A1676848-96D1-420D-B4EF-0C5456CB6F53}" name="VENTA VIERNES" dataDxfId="1087" totalsRowDxfId="1086"/>
    <tableColumn id="14" xr3:uid="{02FA5173-84DE-48A0-8DBE-3E91E2799AA1}" name=" INGRESO SABADO" dataDxfId="1085" totalsRowDxfId="1084"/>
    <tableColumn id="15" xr3:uid="{7CC14A9A-C328-4224-A495-27B1ED04622D}" name="VENTA SABADO" dataDxfId="1083" totalsRowDxfId="1082"/>
    <tableColumn id="16" xr3:uid="{893BCCF8-B2D6-4875-921E-B25A5CC529D5}" name="VENTA SEMANAL" dataDxfId="1081" totalsRowDxfId="1080">
      <calculatedColumnFormula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calculatedColumnFormula>
    </tableColumn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FF90E7-06E6-4731-93A4-51C5DDBE0BF7}" name="STOCK687684921001081161241321401481321561641721801881561641721962042122202282362442522602682762842923003083163243323434635436237037810" displayName="STOCK687684921001081161241321401481321561641721801881561641721962042122202282362442522602682762842923003083163243323434635436237037810" ref="B9:R23" totalsRowShown="0" headerRowDxfId="1049" dataDxfId="1047" totalsRowDxfId="1045" headerRowBorderDxfId="1048" tableBorderDxfId="1046" totalsRowBorderDxfId="1044">
  <autoFilter ref="B9:R23" xr:uid="{00000000-0009-0000-0100-000001000000}"/>
  <tableColumns count="17">
    <tableColumn id="1" xr3:uid="{B0AF875F-8175-42B7-9B60-DA04BA6174A0}" name="SALON A" dataDxfId="1043" totalsRowDxfId="1042"/>
    <tableColumn id="2" xr3:uid="{F68ECD61-ED0F-43A3-9681-89888A109BBE}" name="CODIGO DE VENTA" dataDxfId="1041" totalsRowDxfId="1040"/>
    <tableColumn id="19" xr3:uid="{44455A0B-A78E-4C0A-8B52-F2476CEA86BB}" name="INVENTARIO INICIAL" dataDxfId="1039" totalsRowDxfId="1038">
      <calculatedColumnFormula>STOCK6876849210010811612413214014813215616417218018815616417219620421222022823624425226026827628429230030831632433234346354362370378[[#This Row],[STOCK]]</calculatedColumnFormula>
    </tableColumn>
    <tableColumn id="6" xr3:uid="{3F188E4C-AF7C-4242-9781-84E2FA4B7BE2}" name="STOCK" dataDxfId="1037">
      <calculatedColumnFormula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calculatedColumnFormula>
    </tableColumn>
    <tableColumn id="3" xr3:uid="{7111FA49-E062-4BB3-B8C9-1AA7EB252E4C}" name="INGRESO LUNES" dataDxfId="1036" totalsRowDxfId="1035"/>
    <tableColumn id="18" xr3:uid="{E504DEE7-B341-4EA8-AC88-7E60D22D1AF0}" name="VENTA    LUNES" dataDxfId="1034" totalsRowDxfId="1033"/>
    <tableColumn id="17" xr3:uid="{C02FB04E-1376-4AE8-A394-AD15AB9996DC}" name="INGRESO MARTES" dataDxfId="1032" totalsRowDxfId="1031"/>
    <tableColumn id="16" xr3:uid="{B107BC20-B6BE-4D1E-AD0F-9ED28BEE8161}" name="VENTA MARTES" dataDxfId="1030" totalsRowDxfId="1029"/>
    <tableColumn id="15" xr3:uid="{8E726D65-A80A-445C-8E8B-8550849DDF9D}" name="INGRESO MIERCOLES" dataDxfId="1028" totalsRowDxfId="1027"/>
    <tableColumn id="14" xr3:uid="{476B102A-D3D8-4EEB-A07B-BC7952A291E2}" name="VENTA MIERCOLES" dataDxfId="1026" totalsRowDxfId="1025"/>
    <tableColumn id="13" xr3:uid="{D58624C8-6CFF-48D1-851B-8217F6EEBF08}" name="INGRESO JUEVES" dataDxfId="1024" totalsRowDxfId="1023"/>
    <tableColumn id="12" xr3:uid="{7EB6A5CE-3ABA-48CF-8972-222BF933664B}" name="VENTA JUEVES" dataDxfId="1022" totalsRowDxfId="1021"/>
    <tableColumn id="11" xr3:uid="{F1FEB783-B65B-4C28-9336-26B39A230600}" name="INGRESO VIERNES" dataDxfId="1020" totalsRowDxfId="1019"/>
    <tableColumn id="10" xr3:uid="{D6501A4C-8567-469E-938A-77E57FFC7F32}" name="VENTA VIERNES" dataDxfId="1018" totalsRowDxfId="1017"/>
    <tableColumn id="9" xr3:uid="{22D8301D-1885-4E01-BDE2-4C20520A7258}" name=" INGRESO SABADO" dataDxfId="1016" totalsRowDxfId="1015"/>
    <tableColumn id="8" xr3:uid="{A11AD8B9-770C-4040-8C8B-AD6B63BCA0AC}" name="VENTA SABADO" dataDxfId="1014" totalsRowDxfId="1013"/>
    <tableColumn id="7" xr3:uid="{56DAAD32-DB9D-4BE1-8B23-240D06E32DA2}" name="VENTA SEMANAL" dataDxfId="1012" totalsRowDxfId="1011">
      <calculatedColumnFormula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DE8E7B-3154-4B29-8430-8EC88825A8D5}" name="Tabla1311192737455361697785931011091171251331411491331571651731811891571651731972052132212292372452532612692772852933013093173253333534735536337137911" displayName="Tabla1311192737455361697785931011091171251331411491331571651731811891571651731972052132212292372452532612692772852933013093173253333534735536337137911" ref="B25:R56" totalsRowShown="0" headerRowDxfId="1010" dataDxfId="1009" totalsRowDxfId="1007" tableBorderDxfId="1008">
  <autoFilter ref="B25:R56" xr:uid="{15BAFCEE-E72F-4E0E-AE76-1DFB3C3F5C2F}"/>
  <tableColumns count="17">
    <tableColumn id="1" xr3:uid="{F4D330A9-4224-456F-B7F2-39E549D0FB27}" name="SALON B" dataDxfId="1006"/>
    <tableColumn id="2" xr3:uid="{4BB00BF0-AD16-4550-8574-01450F7ECF7B}" name="CODIGO DE VENTA" dataDxfId="1005"/>
    <tableColumn id="17" xr3:uid="{0E1A20BF-8916-4D49-AD1A-E35028C9BE2B}" name="INVENTARIO INICIAL" dataDxfId="1004">
      <calculatedColumnFormula>Tabla13111927374553616977859310110911712513314114913315716517318118915716517319720521322122923724525326126927728529330130931732533335347355363371379[[#This Row],[STOCK]]</calculatedColumnFormula>
    </tableColumn>
    <tableColumn id="6" xr3:uid="{CA6B8BAE-4AFF-47FA-991D-ED0E98DAD670}" name="STOCK" dataDxfId="1003">
      <calculatedColumnFormula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calculatedColumnFormula>
    </tableColumn>
    <tableColumn id="3" xr3:uid="{2C14D55B-7693-411A-8D72-BF688C1B72D2}" name="INGRESO LUNES" dataDxfId="1002"/>
    <tableColumn id="4" xr3:uid="{9594BE76-E27A-4A1F-B196-B6F3EC76F542}" name="VENTA LUNES" dataDxfId="1001" totalsRowDxfId="1000"/>
    <tableColumn id="5" xr3:uid="{D36680B3-8AA1-46F4-9141-F5109F5ACD43}" name="INGRESO MARTES" dataDxfId="999" totalsRowDxfId="998"/>
    <tableColumn id="7" xr3:uid="{89900937-8C5B-4B71-87B2-DC25977842CB}" name="VENTA MARTES" dataDxfId="997"/>
    <tableColumn id="8" xr3:uid="{339F6C3A-B1C9-4310-A2E8-761B56D88466}" name="INGRESO MIERCOLES" dataDxfId="996"/>
    <tableColumn id="9" xr3:uid="{A85167FE-E2A6-4905-B353-796D0E052682}" name="VENTA MIERCOLES" dataDxfId="995"/>
    <tableColumn id="10" xr3:uid="{35A15394-B9E5-43B7-A33D-2CCFB0F98CC8}" name="INGRESO JUEVES" dataDxfId="994"/>
    <tableColumn id="11" xr3:uid="{CCB73A43-C4BA-4C85-A381-337F1A09F58C}" name="VENTA JUEVES" dataDxfId="993"/>
    <tableColumn id="12" xr3:uid="{FC358D97-DBDD-427F-A9E8-031C2E1DC7C0}" name="INGRESO VIERNES" dataDxfId="992"/>
    <tableColumn id="13" xr3:uid="{5815069F-5746-4899-B87B-B83EC0EA5D8C}" name="VENTA VIERNES" dataDxfId="991"/>
    <tableColumn id="14" xr3:uid="{8B028A70-BC7D-44B3-8745-C3CC8C127F19}" name=" INGRESO SABADO" dataDxfId="990"/>
    <tableColumn id="15" xr3:uid="{94BC904D-B996-4197-B1C3-7993D28F3D12}" name="VENTA SABADO" dataDxfId="989"/>
    <tableColumn id="16" xr3:uid="{7275586E-AEE6-4FB9-9E76-9A0C4B6CA2F5}" name="VENTA SEMANAL" dataDxfId="988" totalsRowDxfId="987">
      <calculatedColumnFormula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0B6904A-DB76-47E6-A761-60280C91E9E8}" name="Tabla134122028384654627078869410211011812613414215013415816617418219015816617419820621422223023824625426227027828629430231031832633434034835636437238012" displayName="Tabla134122028384654627078869410211011812613414215013415816617418219015816617419820621422223023824625426227027828629430231031832633434034835636437238012" ref="B58:R96" totalsRowShown="0" headerRowDxfId="986" totalsRowDxfId="984" tableBorderDxfId="985">
  <autoFilter ref="B58:R96" xr:uid="{63FA84B0-D74F-4CBD-85BD-3759E1F4F2A1}"/>
  <tableColumns count="17">
    <tableColumn id="1" xr3:uid="{0BC77E28-1D1E-4A7B-9FDD-B7EF1B355BA6}" name="SALON C" dataDxfId="983"/>
    <tableColumn id="2" xr3:uid="{7861AA34-FAF6-4433-99D3-DEEEC1DA8834}" name="CODIGO DE VENTA" dataDxfId="982"/>
    <tableColumn id="17" xr3:uid="{1C382C20-2F40-4C8D-A457-B46E40747696}" name="INVENTARIO INICIAL" dataDxfId="981">
      <calculatedColumnFormula>Tabla1341220283846546270788694102110118126134142150134158166174182190158166174198206214222230238246254262270278286294302310318326334340348356364372380[[#This Row],[STOCK]]</calculatedColumnFormula>
    </tableColumn>
    <tableColumn id="6" xr3:uid="{5C93E19E-63E1-4F23-8187-3A7EE4B7E84B}" name="STOCK" dataDxfId="980">
      <calculatedColumnFormula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calculatedColumnFormula>
    </tableColumn>
    <tableColumn id="3" xr3:uid="{3C15CECC-0422-4348-8AB1-AC7E47F98D61}" name="INGRESO LUNES" dataDxfId="979"/>
    <tableColumn id="4" xr3:uid="{7C28A5C9-36E9-40A6-80E4-4E3B8204EB62}" name="VENTA LUNES" dataDxfId="978"/>
    <tableColumn id="5" xr3:uid="{F3FC0E80-17D4-4451-98B7-CE6C27E94D72}" name="INGRESO MARTES" dataDxfId="977"/>
    <tableColumn id="7" xr3:uid="{20715826-1438-4E7F-B779-88E1B8585F41}" name="VENTA MARTES" dataDxfId="976"/>
    <tableColumn id="8" xr3:uid="{CC217C58-059A-4AEE-B259-B2C4F04EFA4C}" name="INGRESO MIERCOLES" dataDxfId="975"/>
    <tableColumn id="9" xr3:uid="{72DC3842-8A59-45A1-8896-D0BDB60FD7C9}" name="VENTA MIERCOLES" dataDxfId="974"/>
    <tableColumn id="10" xr3:uid="{079EDCE6-4D95-44C5-AEBA-BF192CEE09B6}" name="INGRESO JUEVES" dataDxfId="973"/>
    <tableColumn id="11" xr3:uid="{8EF32E85-1146-47C5-8771-60561431A394}" name="VENTA JUEVES" dataDxfId="972"/>
    <tableColumn id="12" xr3:uid="{C7BE3420-182D-4A9C-A40D-04F330BAF4D1}" name="INGRESO VIERNES" dataDxfId="971"/>
    <tableColumn id="13" xr3:uid="{2525656F-47BE-43C3-8790-01B9231F0E27}" name="VENTA VIERNES" dataDxfId="970"/>
    <tableColumn id="14" xr3:uid="{7E369343-38AE-4E24-970F-22DD39B095C2}" name=" INGRESO SABADO" dataDxfId="969"/>
    <tableColumn id="15" xr3:uid="{2D1C9742-63C2-42A9-AEFA-F544A895D8F7}" name="VENTA SABADO" dataDxfId="968"/>
    <tableColumn id="16" xr3:uid="{9D72F21A-7D6E-49B2-BA0D-959465DB76A5}" name="VENTA SEMANAL" dataDxfId="967">
      <calculatedColumnFormula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calculatedColumnFormula>
    </tableColumn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DD0D746-35AA-4585-BCA3-404151E4EC71}" name="Tabla1346132129394755637179879510311111912713514315113515916717518319115916717519920721522323123924725526327127928729530331131932733534134935736537338113" displayName="Tabla1346132129394755637179879510311111912713514315113515916717518319115916717519920721522323123924725526327127928729530331131932733534134935736537338113" ref="B98:R134" totalsRowShown="0" headerRowDxfId="966" dataDxfId="965" totalsRowDxfId="963" tableBorderDxfId="964">
  <autoFilter ref="B98:R134" xr:uid="{3645459F-BBF3-4783-8454-E0A96E467B27}"/>
  <tableColumns count="17">
    <tableColumn id="1" xr3:uid="{DA533542-3166-481C-A862-E858923D6E65}" name="SALON D" dataDxfId="962"/>
    <tableColumn id="2" xr3:uid="{F470666D-A469-46B4-928F-86501CDB3B42}" name="CODIGO DE VENTA" dataDxfId="961"/>
    <tableColumn id="17" xr3:uid="{68B4DB35-BCC5-4533-990F-5510BB411B76}" name="INVENTARIO INICIAL" dataDxfId="960">
      <calculatedColumnFormula>Tabla13461321293947556371798795103111119127135143151135159167175183191159167175199207215223231239247255263271279287295303311319327335341349357365373381[[#This Row],[STOCK]]</calculatedColumnFormula>
    </tableColumn>
    <tableColumn id="6" xr3:uid="{3A72AFD9-3E36-4A34-9DA6-A3757AF5C054}" name="STOCK" dataDxfId="959">
      <calculatedColumnFormula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calculatedColumnFormula>
    </tableColumn>
    <tableColumn id="3" xr3:uid="{647DF871-B1CE-401B-B024-344BAFFB6CCB}" name="INGRESO LUNES" dataDxfId="958"/>
    <tableColumn id="4" xr3:uid="{92D777ED-2F7F-4869-A6AC-F796F4B4B296}" name="VENTA LUNES" dataDxfId="957" totalsRowDxfId="956"/>
    <tableColumn id="5" xr3:uid="{23F2DFFC-6156-4318-926B-09BAA01468A5}" name="INGRESO MARTES" dataDxfId="955" totalsRowDxfId="954"/>
    <tableColumn id="7" xr3:uid="{77F91732-EC66-424F-B1C1-2EF90FB88692}" name="VENTA MARTES" dataDxfId="953" totalsRowDxfId="952"/>
    <tableColumn id="8" xr3:uid="{13B12AF3-BED6-44B3-BA84-978C5F5045CD}" name="INGRESO MIERCOLES" dataDxfId="951" totalsRowDxfId="950"/>
    <tableColumn id="9" xr3:uid="{23F441C5-F0CA-4E17-8141-80932C2599F2}" name="VENTA MIERCOLES" dataDxfId="949" totalsRowDxfId="948"/>
    <tableColumn id="10" xr3:uid="{5E170872-6CE3-4608-BFA2-740058C1A503}" name="INGRESO JUEVES" dataDxfId="947" totalsRowDxfId="946"/>
    <tableColumn id="11" xr3:uid="{BA0AAD3F-840C-412C-A011-251747B83053}" name="VENTA JUEVES" dataDxfId="945" totalsRowDxfId="944"/>
    <tableColumn id="12" xr3:uid="{1F9B5D06-8737-420D-8D3F-9C39058582EA}" name="INGRESO VIERNES" dataDxfId="943" totalsRowDxfId="942"/>
    <tableColumn id="13" xr3:uid="{2C91D4B9-B808-4E35-A75E-99BC920DD5E7}" name="VENTA VIERNES" dataDxfId="941" totalsRowDxfId="940"/>
    <tableColumn id="14" xr3:uid="{904292B8-0455-4BA7-9C1D-9777C7B9CF79}" name=" INGRESO SABADO" dataDxfId="939" totalsRowDxfId="938"/>
    <tableColumn id="15" xr3:uid="{5FC1DA14-7703-4DF5-A258-03613827398E}" name="VENTA SABADO" dataDxfId="937" totalsRowDxfId="936"/>
    <tableColumn id="16" xr3:uid="{9BAC4276-414C-4C45-BE59-65F5D876AACF}" name="VENTA SEMANAL" dataDxfId="935" totalsRowDxfId="934">
      <calculatedColumnFormula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calculatedColumnFormula>
    </tableColumn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5EF787-1DFD-4AB5-8961-80F31998F785}" name="Tabla13467142230404856647280889610411212012813614415213616016817618419216016817620020821622423224024825626427228028829630431232032833634235035836637438214" displayName="Tabla13467142230404856647280889610411212012813614415213616016817618419216016817620020821622423224024825626427228028829630431232032833634235035836637438214" ref="B136:R151" totalsRowShown="0" headerRowDxfId="933" dataDxfId="932" totalsRowDxfId="930" tableBorderDxfId="931">
  <autoFilter ref="B136:R151" xr:uid="{D869367D-8E32-4085-AC49-828DDEF66650}"/>
  <tableColumns count="17">
    <tableColumn id="1" xr3:uid="{09BA08B1-5845-492E-9FC8-CD4E53A11AED}" name="SALON E" dataDxfId="929"/>
    <tableColumn id="2" xr3:uid="{BE11708F-B301-496C-994E-BBA8785A3F3E}" name="CODIGO DE VENTA" dataDxfId="928"/>
    <tableColumn id="17" xr3:uid="{3DEE5A96-D136-4E75-80B6-5366DDF406F1}" name="INVENTARIO INICIAL" dataDxfId="927">
      <calculatedColumnFormula>Tabla134671422304048566472808896104112120128136144152136160168176184192160168176200208216224232240248256264272280288296304312320328336342350358366374382[[#This Row],[STOCK]]</calculatedColumnFormula>
    </tableColumn>
    <tableColumn id="6" xr3:uid="{2F3E4B73-F693-4830-AA6A-AA9B2E01A890}" name="STOCK" dataDxfId="926">
      <calculatedColumnFormula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calculatedColumnFormula>
    </tableColumn>
    <tableColumn id="3" xr3:uid="{E35572DF-BC27-4C46-8FD5-2150CF1A564A}" name="INGRESO LUNES" dataDxfId="925"/>
    <tableColumn id="4" xr3:uid="{1686C91B-A8AF-4176-881A-55232666E120}" name="VENTA LUNES" dataDxfId="924"/>
    <tableColumn id="5" xr3:uid="{90440AB6-BC66-4E1F-9BC6-DED3E44D99D4}" name="INGRESO MARTES" dataDxfId="923"/>
    <tableColumn id="7" xr3:uid="{74D21AA6-DB8C-48E9-9675-279ECD2C6685}" name="VENTA MARTES" dataDxfId="922"/>
    <tableColumn id="8" xr3:uid="{1AEB78C0-7662-4D70-8EC6-9C25A4A274F9}" name="INGRESO MIERCOLES" dataDxfId="921"/>
    <tableColumn id="9" xr3:uid="{C21CCFE9-913F-4BAF-9E41-780A6E2600DB}" name="VENTA MIERCOLES" dataDxfId="920"/>
    <tableColumn id="10" xr3:uid="{5D6D7E76-8312-4B68-9F04-398DC0B6808B}" name="INGRESO JUEVES" dataDxfId="919"/>
    <tableColumn id="11" xr3:uid="{1160C2FB-0216-4C20-B5E8-10BFBA719F0D}" name="VENTA JUEVES" dataDxfId="918"/>
    <tableColumn id="12" xr3:uid="{5062554D-5D3F-45C2-8566-8596FE2484CE}" name="INGRESO VIERNES" dataDxfId="917"/>
    <tableColumn id="13" xr3:uid="{221A2CBE-8547-4E79-AA71-52BC40CD11ED}" name="VENTA VIERNES" dataDxfId="916"/>
    <tableColumn id="14" xr3:uid="{1518594F-C446-4F74-832A-50AA8CDDC299}" name=" INGRESO SABADO" dataDxfId="915"/>
    <tableColumn id="15" xr3:uid="{4F1ACF3D-DCEE-4E30-95DB-CA2E823168A7}" name="VENTA SABADO" dataDxfId="914"/>
    <tableColumn id="16" xr3:uid="{08E10622-DCFD-4B46-AC4F-58FCEC66E33E}" name="VENTA SEMANAL" dataDxfId="913">
      <calculatedColumnFormula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calculatedColumnFormula>
    </tableColumn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31AB30-8348-4811-BCD0-1C05C15B7F4B}" name="Tabla13468152331414957657381899710511312112913714515313716116917718519316116917720120921722523324124925726527328128929730531332132933734335135936737538315" displayName="Tabla13468152331414957657381899710511312112913714515313716116917718519316116917720120921722523324124925726527328128929730531332132933734335135936737538315" ref="B153:R193" totalsRowShown="0" headerRowDxfId="912" dataDxfId="911" totalsRowDxfId="909" tableBorderDxfId="910">
  <autoFilter ref="B153:R193" xr:uid="{0D12A3DE-A04A-46C3-84D3-310CEE70C113}"/>
  <tableColumns count="17">
    <tableColumn id="1" xr3:uid="{448C7652-CA68-42BB-A04B-498FA9628E00}" name="SALON F" dataDxfId="908"/>
    <tableColumn id="2" xr3:uid="{10A044D2-E3C8-425D-B4C6-2F1B6ECA3778}" name="CODIGO DE VENTA" dataDxfId="907"/>
    <tableColumn id="18" xr3:uid="{166C8587-4A37-4FB9-9371-DAFCC127FD78}" name="INVENTARIO INICIAL" dataDxfId="906">
      <calculatedColumnFormula>Tabla134681523314149576573818997105113121129137145153137161169177185193161169177201209217225233241249257265273281289297305313321329337343351359367375383[[#This Row],[STOCK]]</calculatedColumnFormula>
    </tableColumn>
    <tableColumn id="19" xr3:uid="{583BE25B-5233-44D1-BD4E-4A72A9BFD662}" name="STOCK" dataDxfId="905" totalsRowDxfId="904">
      <calculatedColumnFormula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calculatedColumnFormula>
    </tableColumn>
    <tableColumn id="20" xr3:uid="{A93DCB77-6612-4E19-8187-CFB82328416F}" name="INGRESO LUNES" dataDxfId="903" totalsRowDxfId="902"/>
    <tableColumn id="21" xr3:uid="{7633B8CA-87F8-4E7C-8502-F448DC7AC788}" name="VENTA LUNES" dataDxfId="901" totalsRowDxfId="900"/>
    <tableColumn id="22" xr3:uid="{743A098D-314C-4697-A20D-0BDD41146B25}" name="INGRESO MARTES" dataDxfId="899" totalsRowDxfId="898"/>
    <tableColumn id="23" xr3:uid="{E22658FA-ADFE-4EC6-880B-2C70B7B31635}" name="VENTA MARTES" dataDxfId="897" totalsRowDxfId="896"/>
    <tableColumn id="24" xr3:uid="{B69CE281-6256-4A2D-A4B9-F38F02BBA8EB}" name="INGRESO MIERCOLES" dataDxfId="895" totalsRowDxfId="894"/>
    <tableColumn id="25" xr3:uid="{2913C2A6-1FF1-44BD-A655-0A5BFAE6A1BA}" name="VENTA MIERCOLES" dataDxfId="893" totalsRowDxfId="892"/>
    <tableColumn id="26" xr3:uid="{D236611B-5B53-4121-AE3D-68EEFE109D5F}" name="INGRESO JUEVES" dataDxfId="891" totalsRowDxfId="890"/>
    <tableColumn id="27" xr3:uid="{0421F501-0D0F-4B33-A0C5-3DCB5A6569ED}" name="VENTA JUEVES" dataDxfId="889" totalsRowDxfId="888"/>
    <tableColumn id="28" xr3:uid="{9CA8C8EA-F37D-4A7C-94D7-13DD1E1240F3}" name="INGRESO VIERNES" dataDxfId="887" totalsRowDxfId="886"/>
    <tableColumn id="29" xr3:uid="{619DBE4E-C5BD-4877-8121-5B8D75A0BD94}" name="VENTA VIERNES" dataDxfId="885" totalsRowDxfId="884"/>
    <tableColumn id="30" xr3:uid="{81A964E7-1C32-4D92-93A3-415D196CF65E}" name=" INGRESO SABADO" dataDxfId="883" totalsRowDxfId="882"/>
    <tableColumn id="31" xr3:uid="{0811AE5E-5499-49C0-B930-626798738EFF}" name="VENTA SABADO" dataDxfId="881" totalsRowDxfId="880"/>
    <tableColumn id="32" xr3:uid="{7B7C7F92-694C-472A-AF95-6362963616D9}" name="VENTA SEMANAL" dataDxfId="879" totalsRowDxfId="878">
      <calculatedColumnFormula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calculatedColumnFormula>
    </tableColumn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F59AA03-DE6A-4079-9CAF-E08AAA293513}" name="Tabla134689162432425058667482909810611412213013814615413816217017818619416217017820221021822623424225025826627428229029830631432233033834435236036837638416" displayName="Tabla134689162432425058667482909810611412213013814615413816217017818619416217017820221021822623424225025826627428229029830631432233033834435236036837638416" ref="B195:R241" totalsRowShown="0" headerRowDxfId="877" dataDxfId="876" totalsRowDxfId="874" tableBorderDxfId="875">
  <autoFilter ref="B195:R241" xr:uid="{FB91264E-6878-4532-AA11-1B27A6D4908D}"/>
  <tableColumns count="17">
    <tableColumn id="1" xr3:uid="{B2319915-BB36-4CBA-A475-85C1B5CB1DEA}" name="SALON G" dataDxfId="873"/>
    <tableColumn id="2" xr3:uid="{5C622AF3-0F67-4131-9D24-3AEE812E58FD}" name="CODIGO DE VENTA" dataDxfId="872"/>
    <tableColumn id="18" xr3:uid="{259C10F8-F34B-42EF-AD9F-B539D8B51451}" name="INVENTARIO INICIAL" dataDxfId="871">
      <calculatedColumnFormula>Tabla1346891624324250586674829098106114122130138146154138162170178186194162170178202210218226234242250258266274282290298306314322330338344352360368376384[[#This Row],[STOCK]]</calculatedColumnFormula>
    </tableColumn>
    <tableColumn id="19" xr3:uid="{34391E97-7C4B-465E-8A5A-41B394891AC5}" name="STOCK" dataDxfId="870" totalsRowDxfId="869">
      <calculatedColumnFormula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calculatedColumnFormula>
    </tableColumn>
    <tableColumn id="20" xr3:uid="{554A9716-E7D2-4462-A05E-2387CC603700}" name="INGRESO LUNES" dataDxfId="868" totalsRowDxfId="867"/>
    <tableColumn id="21" xr3:uid="{CB2BCA25-5242-4C31-943C-812E01F62EFE}" name="VENTA LUNES" dataDxfId="866" totalsRowDxfId="865"/>
    <tableColumn id="22" xr3:uid="{8E99E430-E8C8-4EB2-B4CD-65143EFB26B7}" name="INGRESO MARTES" dataDxfId="864" totalsRowDxfId="863"/>
    <tableColumn id="23" xr3:uid="{BE0BD744-6751-4581-BB90-75F77277BA39}" name="VENTA MARTES" dataDxfId="862" totalsRowDxfId="861"/>
    <tableColumn id="24" xr3:uid="{FB810A06-9916-4EF0-BE71-BBD96D596C1A}" name="INGRESO MIERCOLES" dataDxfId="860" totalsRowDxfId="859"/>
    <tableColumn id="25" xr3:uid="{A89AD3C7-A509-436D-A87A-5F214FDC63EE}" name="VENTA MIERCOLES" dataDxfId="858" totalsRowDxfId="857"/>
    <tableColumn id="26" xr3:uid="{F7026D7C-D5C1-4145-A663-025742258EA0}" name="INGRESO JUEVES" dataDxfId="856" totalsRowDxfId="855"/>
    <tableColumn id="27" xr3:uid="{281A527D-7AAB-4083-BFA3-8643A59348F0}" name="VENTA JUEVES" dataDxfId="854" totalsRowDxfId="853"/>
    <tableColumn id="28" xr3:uid="{2140EB49-2464-4E57-837A-836D9497749D}" name="INGRESO VIERNES" dataDxfId="852" totalsRowDxfId="851"/>
    <tableColumn id="29" xr3:uid="{3B78AAF8-3468-467A-B7CE-910DADDB03AD}" name="SALIDA VIERNES" dataDxfId="850" totalsRowDxfId="849"/>
    <tableColumn id="30" xr3:uid="{595395AA-6859-49A8-9897-666FFC9FA885}" name="INGRESO SABADO" dataDxfId="848" totalsRowDxfId="847"/>
    <tableColumn id="31" xr3:uid="{388BA698-D2EE-4ADC-AAA3-06CC2D5A249C}" name="SALIDA SABADO" dataDxfId="846" totalsRowDxfId="845"/>
    <tableColumn id="32" xr3:uid="{8831B7D7-CE77-4C77-A1C6-14B6A3895AC4}" name="VENTA SEMANAL" dataDxfId="844" totalsRowDxfId="843">
      <calculatedColumnFormula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calculatedColumnFormula>
    </tableColumn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9DC192E-CFC9-4BE0-8787-4827698CAAF5}" name="Tabla13468910172533435159677583919910711512313113914715513916317117918719516317117920321121922723524325125926727528329129930731532333133934535336136937738517" displayName="Tabla13468910172533435159677583919910711512313113914715513916317117918719516317117920321121922723524325125926727528329129930731532333133934535336136937738517" ref="B243:R264" totalsRowShown="0" headerRowDxfId="842" dataDxfId="841" totalsRowDxfId="839" tableBorderDxfId="840">
  <autoFilter ref="B243:R264" xr:uid="{B2CF9012-6841-4AFF-BBE6-666A0408F258}"/>
  <tableColumns count="17">
    <tableColumn id="1" xr3:uid="{6D1A3993-1480-4088-A7D3-9B3D6A920870}" name="SALON H" dataDxfId="838"/>
    <tableColumn id="2" xr3:uid="{9ED8333E-4AE1-4A43-96F7-1CCD111B3C5D}" name="CODIGO DE VENTA" dataDxfId="837"/>
    <tableColumn id="17" xr3:uid="{0C7DA91B-705F-4C85-AC24-FC5E5B35E662}" name="INVENTARIO INICIAL" dataDxfId="836">
      <calculatedColumnFormula>Tabla134689101725334351596775839199107115123131139147155139163171179187195163171179203211219227235243251259267275283291299307315323331339345353361369377385[[#This Row],[STOCK]]</calculatedColumnFormula>
    </tableColumn>
    <tableColumn id="6" xr3:uid="{FC3B5671-AA6D-4644-A0A6-75F32FA12D2A}" name="STOCK" dataDxfId="835">
      <calculatedColumnFormula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calculatedColumnFormula>
    </tableColumn>
    <tableColumn id="3" xr3:uid="{7AECBEDF-E552-40B9-BF16-26582EAB0A63}" name="INGRESO LUNES" dataDxfId="834"/>
    <tableColumn id="4" xr3:uid="{C4C6B6DE-78AF-424A-BD49-A3E30F000009}" name="VENTA LUNES" dataDxfId="833" totalsRowDxfId="832"/>
    <tableColumn id="5" xr3:uid="{7664C67B-E4CE-4ABA-9D36-9892EBA8299E}" name="INGRESO MARTES" dataDxfId="831" totalsRowDxfId="830"/>
    <tableColumn id="7" xr3:uid="{68AECA70-8619-4FFD-B4EF-23FE0D4854E7}" name="VENTA MARTES" dataDxfId="829" totalsRowDxfId="828"/>
    <tableColumn id="8" xr3:uid="{33309A5B-FE52-4695-A1F6-7C4FF2FA54E8}" name="INGRESO MIERCOLES" dataDxfId="827" totalsRowDxfId="826"/>
    <tableColumn id="9" xr3:uid="{A0069401-DC37-4A6E-A2F4-28D6F358F4B9}" name="VENTA MIERCOLES" dataDxfId="825" totalsRowDxfId="824"/>
    <tableColumn id="10" xr3:uid="{9B01AF6D-D8D7-40F2-B139-3C5C11B5F8F4}" name="INGRESO JUEVES" dataDxfId="823" totalsRowDxfId="822"/>
    <tableColumn id="11" xr3:uid="{DCBD1BB5-2E3E-4AA4-9A65-AC7E7555205A}" name="VENTA JUEVES" dataDxfId="821" totalsRowDxfId="820"/>
    <tableColumn id="12" xr3:uid="{790385BF-8E4D-48FD-B1AF-7A349D8BDA84}" name="INGRESO VIERNES" dataDxfId="819" totalsRowDxfId="818"/>
    <tableColumn id="13" xr3:uid="{45A2B688-A1CA-479C-BA55-6F7AAAD1F292}" name="VENTA VIERNES" dataDxfId="817" totalsRowDxfId="816"/>
    <tableColumn id="14" xr3:uid="{B0B4E51E-BEF6-46AC-9537-82FCB5EAD3FE}" name=" INGRESO SABADO" dataDxfId="815" totalsRowDxfId="814"/>
    <tableColumn id="15" xr3:uid="{44D88764-DFB5-4619-8AC3-C9441623E7AE}" name="VENTA SABADO" dataDxfId="813" totalsRowDxfId="812"/>
    <tableColumn id="16" xr3:uid="{D8302172-F62C-475C-8475-85C8FDAC3463}" name="VENTA SEMANAL" dataDxfId="811" totalsRowDxfId="810">
      <calculatedColumnFormula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calculatedColumnFormula>
    </tableColumn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3BF0A11-DB53-445F-8DD2-3F8AB24CF2E9}" name="STOCK68768492100108116124132140148132156164172180188156164172196204212220228236244252260268276284292300308316324332343463543623703781018" displayName="STOCK68768492100108116124132140148132156164172180188156164172196204212220228236244252260268276284292300308316324332343463543623703781018" ref="B9:R23" totalsRowShown="0" headerRowDxfId="779" dataDxfId="777" totalsRowDxfId="775" headerRowBorderDxfId="778" tableBorderDxfId="776" totalsRowBorderDxfId="774">
  <autoFilter ref="B9:R23" xr:uid="{00000000-0009-0000-0100-000001000000}"/>
  <tableColumns count="17">
    <tableColumn id="1" xr3:uid="{B93B81EC-54FD-47C9-B257-9495E0FA3BA0}" name="SALON A" dataDxfId="773" totalsRowDxfId="772"/>
    <tableColumn id="2" xr3:uid="{98943924-088F-47C9-ADA9-0E68CF0D9888}" name="CODIGO DE VENTA" dataDxfId="771" totalsRowDxfId="770"/>
    <tableColumn id="19" xr3:uid="{E56463C3-AF33-44FE-BE53-EB3229C8E254}" name="INVENTARIO INICIAL" dataDxfId="769" totalsRowDxfId="768">
      <calculatedColumnFormula>STOCK687684921001081161241321401481321561641721801881561641721962042122202282362442522602682762842923003083163243323434635436237037810[[#This Row],[STOCK]]</calculatedColumnFormula>
    </tableColumn>
    <tableColumn id="6" xr3:uid="{5A33DAE7-6BB3-49A0-84EA-291FE2683220}" name="STOCK" dataDxfId="767">
      <calculatedColumnFormula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calculatedColumnFormula>
    </tableColumn>
    <tableColumn id="3" xr3:uid="{467FDDF5-33DB-44E0-B48E-7B32CFA0A762}" name="INGRESO LUNES" dataDxfId="766" totalsRowDxfId="765"/>
    <tableColumn id="18" xr3:uid="{B77FF647-AD61-4EAD-B55C-C57920415531}" name="VENTA    LUNES" dataDxfId="764" totalsRowDxfId="763"/>
    <tableColumn id="17" xr3:uid="{444731AF-CAC8-444D-B0AC-662C6DBCB7A1}" name="INGRESO MARTES" dataDxfId="762" totalsRowDxfId="761"/>
    <tableColumn id="16" xr3:uid="{86E67C1D-8977-4AA2-BFA7-D5CB0738AFBC}" name="VENTA MARTES" dataDxfId="760" totalsRowDxfId="759"/>
    <tableColumn id="15" xr3:uid="{84640436-BE3D-44B5-970C-A4C5851F7F59}" name="INGRESO MIERCOLES" dataDxfId="758" totalsRowDxfId="757"/>
    <tableColumn id="14" xr3:uid="{9B385FA0-8C46-4F76-8B59-0F2F307A71B3}" name="VENTA MIERCOLES" dataDxfId="756" totalsRowDxfId="755"/>
    <tableColumn id="13" xr3:uid="{8C6D24D2-06EC-417E-AE90-1D8586306AF8}" name="INGRESO JUEVES" dataDxfId="754" totalsRowDxfId="753"/>
    <tableColumn id="12" xr3:uid="{61FA91A4-B37F-47D1-B98F-CBA5048E0E6B}" name="VENTA JUEVES" dataDxfId="752" totalsRowDxfId="751"/>
    <tableColumn id="11" xr3:uid="{433DCC29-6DAF-45F4-A6E9-7373C231D8A0}" name="INGRESO VIERNES" dataDxfId="750" totalsRowDxfId="749"/>
    <tableColumn id="10" xr3:uid="{665A22D0-DD6F-41E4-8332-6C0EB05AE248}" name="VENTA VIERNES" dataDxfId="748" totalsRowDxfId="747"/>
    <tableColumn id="9" xr3:uid="{54F5C290-2C2C-41B7-948C-714AA14CEE13}" name=" INGRESO SABADO" dataDxfId="746" totalsRowDxfId="745"/>
    <tableColumn id="8" xr3:uid="{2C57DD4B-FCD0-4D24-AD17-292779C9F4AB}" name="VENTA SABADO" dataDxfId="744" totalsRowDxfId="743"/>
    <tableColumn id="7" xr3:uid="{CE9E7B30-0BF2-42C7-B201-0EF8974852A9}" name="VENTA SEMANAL" dataDxfId="742" totalsRowDxfId="741">
      <calculatedColumnFormula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8B217A8-9078-494B-8E12-0F5F837EE2E2}" name="Tabla131119273745536169778593101109117125133141149133157165173181189157165173197205213221229237245253261269277285293301309317325333353473553633713791119" displayName="Tabla131119273745536169778593101109117125133141149133157165173181189157165173197205213221229237245253261269277285293301309317325333353473553633713791119" ref="B25:R56" totalsRowShown="0" headerRowDxfId="740" dataDxfId="739" totalsRowDxfId="737" tableBorderDxfId="738">
  <autoFilter ref="B25:R56" xr:uid="{15BAFCEE-E72F-4E0E-AE76-1DFB3C3F5C2F}"/>
  <tableColumns count="17">
    <tableColumn id="1" xr3:uid="{807C53D4-0EBD-4FF2-A5AF-D133E2B5CA43}" name="SALON B" dataDxfId="736"/>
    <tableColumn id="2" xr3:uid="{AB3C9D59-F6AD-4AAC-A720-89B68ED2C517}" name="CODIGO DE VENTA" dataDxfId="735"/>
    <tableColumn id="17" xr3:uid="{CD43EF55-2648-4FB1-B686-670613934A06}" name="INVENTARIO INICIAL" dataDxfId="734">
      <calculatedColumnFormula>Tabla1311192737455361697785931011091171251331411491331571651731811891571651731972052132212292372452532612692772852933013093173253333534735536337137911[[#This Row],[STOCK]]</calculatedColumnFormula>
    </tableColumn>
    <tableColumn id="6" xr3:uid="{0256B210-74F2-4EE1-9F89-997AD698C73D}" name="STOCK" dataDxfId="733">
      <calculatedColumnFormula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calculatedColumnFormula>
    </tableColumn>
    <tableColumn id="3" xr3:uid="{C7276ADA-11E0-4FB6-ACC7-0996A58FBAB7}" name="INGRESO LUNES" dataDxfId="732"/>
    <tableColumn id="4" xr3:uid="{8F7AFB6B-733A-4241-8F1C-C7F7A20786F8}" name="VENTA LUNES" dataDxfId="731" totalsRowDxfId="730"/>
    <tableColumn id="5" xr3:uid="{B5B1536B-76C6-41EA-9A79-82FB48118DC1}" name="INGRESO MARTES" dataDxfId="729" totalsRowDxfId="728"/>
    <tableColumn id="7" xr3:uid="{84DA5EB9-755A-4F71-97E9-295142E333EF}" name="VENTA MARTES" dataDxfId="727"/>
    <tableColumn id="8" xr3:uid="{265BA221-C0B3-4112-B37F-A79077961433}" name="INGRESO MIERCOLES" dataDxfId="726"/>
    <tableColumn id="9" xr3:uid="{0E72A1E9-0140-4B22-9BD5-79210B34E4BF}" name="VENTA MIERCOLES" dataDxfId="725"/>
    <tableColumn id="10" xr3:uid="{61D85B9F-5ADC-4F61-91B9-FE113C6D4E32}" name="INGRESO JUEVES" dataDxfId="724"/>
    <tableColumn id="11" xr3:uid="{D4556E32-F19D-40B0-86EB-8A7B4AE0CBD1}" name="VENTA JUEVES" dataDxfId="723"/>
    <tableColumn id="12" xr3:uid="{5715A847-C9EE-429E-B363-4888E78DE897}" name="INGRESO VIERNES" dataDxfId="722"/>
    <tableColumn id="13" xr3:uid="{BB63B645-17C7-40F7-8D82-66C825EDEBC3}" name="VENTA VIERNES" dataDxfId="721"/>
    <tableColumn id="14" xr3:uid="{26E6718F-179C-4B95-B60A-BAC69ACDB555}" name=" INGRESO SABADO" dataDxfId="720"/>
    <tableColumn id="15" xr3:uid="{27845669-0F5B-4E54-B19C-8EA52E6837E6}" name="VENTA SABADO" dataDxfId="719"/>
    <tableColumn id="16" xr3:uid="{E7E82B20-1B8A-4652-BC07-B813C375259C}" name="VENTA SEMANAL" dataDxfId="718" totalsRowDxfId="717">
      <calculatedColumnFormula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calculatedColumnFormula>
    </tableColumn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26D0E6-D6B2-42BE-BA4A-30F5FEA14C2D}" name="Tabla13412202838465462707886941021101181261341421501341581661741821901581661741982062142222302382462542622702782862943023103183263343403483563643723801220" displayName="Tabla13412202838465462707886941021101181261341421501341581661741821901581661741982062142222302382462542622702782862943023103183263343403483563643723801220" ref="B58:R96" totalsRowShown="0" headerRowDxfId="716" totalsRowDxfId="714" tableBorderDxfId="715">
  <autoFilter ref="B58:R96" xr:uid="{63FA84B0-D74F-4CBD-85BD-3759E1F4F2A1}"/>
  <tableColumns count="17">
    <tableColumn id="1" xr3:uid="{B696B513-19F9-408D-ACFA-144A6501952A}" name="SALON C" dataDxfId="713"/>
    <tableColumn id="2" xr3:uid="{C42F8AD9-8212-42D8-98AD-6D5089D3CEAB}" name="CODIGO DE VENTA" dataDxfId="712"/>
    <tableColumn id="17" xr3:uid="{FD500DA2-8B54-43AD-96BE-071EEB913F4F}" name="INVENTARIO INICIAL" dataDxfId="711">
      <calculatedColumnFormula>Tabla134122028384654627078869410211011812613414215013415816617418219015816617419820621422223023824625426227027828629430231031832633434034835636437238012[[#This Row],[STOCK]]</calculatedColumnFormula>
    </tableColumn>
    <tableColumn id="6" xr3:uid="{CB0885DC-C7BE-46C9-9929-65BB439D6B97}" name="STOCK" dataDxfId="710">
      <calculatedColumnFormula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calculatedColumnFormula>
    </tableColumn>
    <tableColumn id="3" xr3:uid="{7E933CEE-69B9-4F3D-A1AC-4A38697FB648}" name="INGRESO LUNES" dataDxfId="709"/>
    <tableColumn id="4" xr3:uid="{72CA53E8-6F01-41B7-B64B-346FEEDBE015}" name="VENTA LUNES" dataDxfId="708"/>
    <tableColumn id="5" xr3:uid="{FAE55800-953E-4B50-922E-6C00C52082C7}" name="INGRESO MARTES" dataDxfId="707"/>
    <tableColumn id="7" xr3:uid="{210C7FBA-C173-4DB1-9335-D683F989D467}" name="VENTA MARTES" dataDxfId="706"/>
    <tableColumn id="8" xr3:uid="{0121EE1E-67C0-489F-8AC5-5732A23CC996}" name="INGRESO MIERCOLES" dataDxfId="705"/>
    <tableColumn id="9" xr3:uid="{96F9405C-8C7E-41B3-9602-AEC21590C2BA}" name="VENTA MIERCOLES" dataDxfId="704"/>
    <tableColumn id="10" xr3:uid="{46E08A47-37F9-4D5A-A183-1532CA2D2260}" name="INGRESO JUEVES" dataDxfId="703"/>
    <tableColumn id="11" xr3:uid="{E960EAD7-AB7B-41EF-9988-78438237C70E}" name="VENTA JUEVES" dataDxfId="702"/>
    <tableColumn id="12" xr3:uid="{56D8B550-CFAD-47F0-8711-F1ECBAEDFE0F}" name="INGRESO VIERNES" dataDxfId="701"/>
    <tableColumn id="13" xr3:uid="{58030547-D075-4E7C-826D-5D293DFE1547}" name="VENTA VIERNES" dataDxfId="700"/>
    <tableColumn id="14" xr3:uid="{554AC825-BF20-4BD6-B940-28DF256AA683}" name=" INGRESO SABADO" dataDxfId="699"/>
    <tableColumn id="15" xr3:uid="{879B61A1-1A50-46D7-87A1-FE92EB8988E5}" name="VENTA SABADO" dataDxfId="698"/>
    <tableColumn id="16" xr3:uid="{4F32CCE7-802F-4D35-8DF3-5FE854D75C3B}" name="VENTA SEMANAL" dataDxfId="697">
      <calculatedColumnFormula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calculatedColumnFormula>
    </tableColumn>
  </tableColumns>
  <tableStyleInfo name="TableStyleLight1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991D1D-A306-42EF-B94A-868ABBC949D5}" name="Tabla134613212939475563717987951031111191271351431511351591671751831911591671751992072152232312392472552632712792872953033113193273353413493573653733811321" displayName="Tabla134613212939475563717987951031111191271351431511351591671751831911591671751992072152232312392472552632712792872953033113193273353413493573653733811321" ref="B98:R134" totalsRowShown="0" headerRowDxfId="696" dataDxfId="695" totalsRowDxfId="693" tableBorderDxfId="694">
  <autoFilter ref="B98:R134" xr:uid="{3645459F-BBF3-4783-8454-E0A96E467B27}"/>
  <tableColumns count="17">
    <tableColumn id="1" xr3:uid="{075F1E43-A2F4-45CA-8770-B14C8C4C37AE}" name="SALON D" dataDxfId="692"/>
    <tableColumn id="2" xr3:uid="{85F59D44-529F-4619-A8C3-BDCC10C3D99C}" name="CODIGO DE VENTA" dataDxfId="691"/>
    <tableColumn id="17" xr3:uid="{D42118BA-3341-4936-9055-AE306B59AC8E}" name="INVENTARIO INICIAL" dataDxfId="690">
      <calculatedColumnFormula>Tabla1346132129394755637179879510311111912713514315113515916717518319115916717519920721522323123924725526327127928729530331131932733534134935736537338113[[#This Row],[STOCK]]</calculatedColumnFormula>
    </tableColumn>
    <tableColumn id="6" xr3:uid="{FB5C3728-D24C-4F5F-9205-A644051C9D81}" name="STOCK" dataDxfId="689">
      <calculatedColumnFormula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calculatedColumnFormula>
    </tableColumn>
    <tableColumn id="3" xr3:uid="{4221FECB-6BCD-4138-920F-6F5BC57BAFEA}" name="INGRESO LUNES" dataDxfId="688"/>
    <tableColumn id="4" xr3:uid="{712B1C36-E6CD-465B-BC0B-C61BCB2863B3}" name="VENTA LUNES" dataDxfId="687" totalsRowDxfId="686"/>
    <tableColumn id="5" xr3:uid="{3A37C305-A303-4B9D-9222-BF9DA8F3D47D}" name="INGRESO MARTES" dataDxfId="685" totalsRowDxfId="684"/>
    <tableColumn id="7" xr3:uid="{9F9BF016-288A-42AB-A496-07A54031D9E2}" name="VENTA MARTES" dataDxfId="683" totalsRowDxfId="682"/>
    <tableColumn id="8" xr3:uid="{17AE1F37-FBB7-4517-AB80-4508DE3FD9AA}" name="INGRESO MIERCOLES" dataDxfId="681" totalsRowDxfId="680"/>
    <tableColumn id="9" xr3:uid="{A9F61912-DEA0-4FC9-A1F2-204C70A66712}" name="VENTA MIERCOLES" dataDxfId="679" totalsRowDxfId="678"/>
    <tableColumn id="10" xr3:uid="{FC23966D-38C3-4055-B5BE-4372BA32F237}" name="INGRESO JUEVES" dataDxfId="677" totalsRowDxfId="676"/>
    <tableColumn id="11" xr3:uid="{1EC28228-592A-41D3-B87E-53EE7AB16C71}" name="VENTA JUEVES" dataDxfId="675" totalsRowDxfId="674"/>
    <tableColumn id="12" xr3:uid="{833583B7-9B10-4795-A9DC-54951E4F31E2}" name="INGRESO VIERNES" dataDxfId="673" totalsRowDxfId="672"/>
    <tableColumn id="13" xr3:uid="{9F43D3D4-C774-4E4A-948A-C770588D47C9}" name="VENTA VIERNES" dataDxfId="671" totalsRowDxfId="670"/>
    <tableColumn id="14" xr3:uid="{F0594610-E475-45EB-B1C2-CBEB8D0B604D}" name=" INGRESO SABADO" dataDxfId="669" totalsRowDxfId="668"/>
    <tableColumn id="15" xr3:uid="{FBC86B20-26CD-4939-9568-4111C64C0847}" name="VENTA SABADO" dataDxfId="667" totalsRowDxfId="666"/>
    <tableColumn id="16" xr3:uid="{BCD828FC-E0B4-4F51-BFE9-730CC8313232}" name="VENTA SEMANAL" dataDxfId="665" totalsRowDxfId="664">
      <calculatedColumnFormula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calculatedColumnFormula>
    </tableColumn>
  </tableColumns>
  <tableStyleInfo name="TableStyleLight1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DECA60-B357-4692-AF9B-4AC2F0C38E72}" name="Tabla1346714223040485664728088961041121201281361441521361601681761841921601681762002082162242322402482562642722802882963043123203283363423503583663743821422" displayName="Tabla1346714223040485664728088961041121201281361441521361601681761841921601681762002082162242322402482562642722802882963043123203283363423503583663743821422" ref="B136:R151" totalsRowShown="0" headerRowDxfId="663" dataDxfId="662" totalsRowDxfId="660" tableBorderDxfId="661">
  <autoFilter ref="B136:R151" xr:uid="{D869367D-8E32-4085-AC49-828DDEF66650}"/>
  <tableColumns count="17">
    <tableColumn id="1" xr3:uid="{F38CC8D6-14C3-44F9-8B51-C09621921521}" name="SALON E" dataDxfId="659"/>
    <tableColumn id="2" xr3:uid="{FB59C0E0-45C5-4CF3-964B-AF7F99146954}" name="CODIGO DE VENTA" dataDxfId="658"/>
    <tableColumn id="17" xr3:uid="{626041EB-9D44-4953-8CFE-DC0286ABB481}" name="INVENTARIO INICIAL" dataDxfId="657">
      <calculatedColumnFormula>Tabla13467142230404856647280889610411212012813614415213616016817618419216016817620020821622423224024825626427228028829630431232032833634235035836637438214[[#This Row],[STOCK]]</calculatedColumnFormula>
    </tableColumn>
    <tableColumn id="6" xr3:uid="{462EC77A-B905-4D91-A11A-017D51CEBFDF}" name="STOCK" dataDxfId="656">
      <calculatedColumnFormula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calculatedColumnFormula>
    </tableColumn>
    <tableColumn id="3" xr3:uid="{23E9846A-7D6E-42FB-BE71-5D779F312995}" name="INGRESO LUNES" dataDxfId="655"/>
    <tableColumn id="4" xr3:uid="{816DB60E-19BE-4064-80B6-BA400C305A6A}" name="VENTA LUNES" dataDxfId="654"/>
    <tableColumn id="5" xr3:uid="{DA1FA0D5-2915-4157-9152-3EFAFE12DC63}" name="INGRESO MARTES" dataDxfId="653"/>
    <tableColumn id="7" xr3:uid="{644E4E49-8C48-47BC-BFD9-21825F5278C9}" name="VENTA MARTES" dataDxfId="652"/>
    <tableColumn id="8" xr3:uid="{23645188-6BD4-49CE-ADCB-F4F155E94374}" name="INGRESO MIERCOLES" dataDxfId="651"/>
    <tableColumn id="9" xr3:uid="{A8D3302A-65DA-40E6-A63D-A799C067FF64}" name="VENTA MIERCOLES" dataDxfId="650"/>
    <tableColumn id="10" xr3:uid="{9930F204-12EE-4A04-BCDB-0D23B016548C}" name="INGRESO JUEVES" dataDxfId="649"/>
    <tableColumn id="11" xr3:uid="{6E24C990-479D-4C63-976D-52912DA326E4}" name="VENTA JUEVES" dataDxfId="648"/>
    <tableColumn id="12" xr3:uid="{49CADCEB-E929-43DD-B036-F239261AFEBD}" name="INGRESO VIERNES" dataDxfId="647"/>
    <tableColumn id="13" xr3:uid="{BD5BEA8B-E76C-4730-85DC-4F8DF8D9AC56}" name="VENTA VIERNES" dataDxfId="646"/>
    <tableColumn id="14" xr3:uid="{8C16E068-46BD-4392-872F-3F8A00AC11E5}" name=" INGRESO SABADO" dataDxfId="645"/>
    <tableColumn id="15" xr3:uid="{9F658F65-1374-40B6-9E5F-070880D68CF2}" name="VENTA SABADO" dataDxfId="644"/>
    <tableColumn id="16" xr3:uid="{953C11A5-770E-47CA-8F35-A58309937AB4}" name="VENTA SEMANAL" dataDxfId="643">
      <calculatedColumnFormula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calculatedColumnFormula>
    </tableColumn>
  </tableColumns>
  <tableStyleInfo name="TableStyleLight1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E0ACADD-6933-44D3-98E2-6C0AF7B7F329}" name="Tabla1346815233141495765738189971051131211291371451531371611691771851931611691772012092172252332412492572652732812892973053133213293373433513593673753831523" displayName="Tabla1346815233141495765738189971051131211291371451531371611691771851931611691772012092172252332412492572652732812892973053133213293373433513593673753831523" ref="B153:R193" totalsRowShown="0" headerRowDxfId="642" dataDxfId="641" totalsRowDxfId="639" tableBorderDxfId="640">
  <autoFilter ref="B153:R193" xr:uid="{0D12A3DE-A04A-46C3-84D3-310CEE70C113}"/>
  <tableColumns count="17">
    <tableColumn id="1" xr3:uid="{CE164799-DC01-4821-877D-5BAEE1402360}" name="SALON F" dataDxfId="638"/>
    <tableColumn id="2" xr3:uid="{A8AE653F-0479-49FF-BB46-2A702AE7E5BA}" name="CODIGO DE VENTA" dataDxfId="637"/>
    <tableColumn id="18" xr3:uid="{496D38C9-7A01-496E-A33B-4128E8E63EB2}" name="INVENTARIO INICIAL" dataDxfId="636">
      <calculatedColumnFormula>Tabla13468152331414957657381899710511312112913714515313716116917718519316116917720120921722523324124925726527328128929730531332132933734335135936737538315[[#This Row],[STOCK]]</calculatedColumnFormula>
    </tableColumn>
    <tableColumn id="19" xr3:uid="{58A127D8-CF3C-4D0C-B2C7-81B7809C965C}" name="STOCK" dataDxfId="635" totalsRowDxfId="634">
      <calculatedColumnFormula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calculatedColumnFormula>
    </tableColumn>
    <tableColumn id="20" xr3:uid="{C6CCF6AB-15B1-4C84-9389-2F9DACD43AB0}" name="INGRESO LUNES" dataDxfId="633" totalsRowDxfId="632"/>
    <tableColumn id="21" xr3:uid="{A279E1AC-A233-4E30-9CB1-6ED5BA419343}" name="VENTA LUNES" dataDxfId="631" totalsRowDxfId="630"/>
    <tableColumn id="22" xr3:uid="{DCED1CD8-E490-49A0-86CD-BAE0B540C338}" name="INGRESO MARTES" dataDxfId="629" totalsRowDxfId="628"/>
    <tableColumn id="23" xr3:uid="{9F4EE755-56A3-4FBB-98D9-4384832C1BA5}" name="VENTA MARTES" dataDxfId="627" totalsRowDxfId="626"/>
    <tableColumn id="24" xr3:uid="{4EBFF3A7-5503-4384-9AE0-2E184D0D274A}" name="INGRESO MIERCOLES" dataDxfId="625" totalsRowDxfId="624"/>
    <tableColumn id="25" xr3:uid="{CDB30744-4D3F-4047-A4A5-2F2FD7761AA9}" name="VENTA MIERCOLES" dataDxfId="623" totalsRowDxfId="622"/>
    <tableColumn id="26" xr3:uid="{B5EB524C-9F88-47E9-A9E9-CDBDB033C15D}" name="INGRESO JUEVES" dataDxfId="621" totalsRowDxfId="620"/>
    <tableColumn id="27" xr3:uid="{B3C6050F-2213-4C2B-A605-03E8677CE3E2}" name="VENTA JUEVES" dataDxfId="619" totalsRowDxfId="618"/>
    <tableColumn id="28" xr3:uid="{73004BF5-68F6-4816-B2CD-1D4114877259}" name="INGRESO VIERNES" dataDxfId="617" totalsRowDxfId="616"/>
    <tableColumn id="29" xr3:uid="{4E869D9F-5ED7-4CCA-A130-D70E1071D3B7}" name="VENTA VIERNES" dataDxfId="615" totalsRowDxfId="614"/>
    <tableColumn id="30" xr3:uid="{0F9EBEF2-4560-47CB-BE3D-B89C962E0DC7}" name=" INGRESO SABADO" dataDxfId="613" totalsRowDxfId="612"/>
    <tableColumn id="31" xr3:uid="{8F5DE73F-97ED-4117-A9CE-A2BDA13CC3E8}" name="VENTA SABADO" dataDxfId="611" totalsRowDxfId="610"/>
    <tableColumn id="32" xr3:uid="{95370E1E-2E7F-4A24-B3D2-FA4DEE4A8B85}" name="VENTA SEMANAL" dataDxfId="609" totalsRowDxfId="608">
      <calculatedColumnFormula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calculatedColumnFormula>
    </tableColumn>
  </tableColumns>
  <tableStyleInfo name="TableStyleLight1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DD6A3F9-9AB1-4191-8460-8F80B16A03C0}" name="Tabla13468916243242505866748290981061141221301381461541381621701781861941621701782022102182262342422502582662742822902983063143223303383443523603683763841624" displayName="Tabla13468916243242505866748290981061141221301381461541381621701781861941621701782022102182262342422502582662742822902983063143223303383443523603683763841624" ref="B195:R241" totalsRowShown="0" headerRowDxfId="607" dataDxfId="606" totalsRowDxfId="604" tableBorderDxfId="605">
  <autoFilter ref="B195:R241" xr:uid="{FB91264E-6878-4532-AA11-1B27A6D4908D}"/>
  <tableColumns count="17">
    <tableColumn id="1" xr3:uid="{95BE75F1-EAE5-4D91-A918-70B481AF6BB3}" name="SALON G" dataDxfId="603"/>
    <tableColumn id="2" xr3:uid="{421565AB-1691-4186-9546-F61D5EA2F07A}" name="CODIGO DE VENTA" dataDxfId="602"/>
    <tableColumn id="18" xr3:uid="{9F996AAA-C673-41A9-9E93-2B1B40514420}" name="INVENTARIO INICIAL" dataDxfId="601">
      <calculatedColumnFormula>Tabla134689162432425058667482909810611412213013814615413816217017818619416217017820221021822623424225025826627428229029830631432233033834435236036837638416[[#This Row],[STOCK]]</calculatedColumnFormula>
    </tableColumn>
    <tableColumn id="19" xr3:uid="{238F1346-73BC-46E4-81B8-1AB7F1358225}" name="STOCK" dataDxfId="600" totalsRowDxfId="599">
      <calculatedColumnFormula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calculatedColumnFormula>
    </tableColumn>
    <tableColumn id="20" xr3:uid="{623EC095-9C2B-46C9-AAD0-82D8A74292AA}" name="INGRESO LUNES" dataDxfId="598" totalsRowDxfId="597"/>
    <tableColumn id="21" xr3:uid="{01431AC5-DBD9-4075-905B-91078A279120}" name="VENTA LUNES" dataDxfId="596" totalsRowDxfId="595"/>
    <tableColumn id="22" xr3:uid="{255D0F31-EAA5-4C6B-BD30-D3425B5DF5FF}" name="INGRESO MARTES" dataDxfId="594" totalsRowDxfId="593"/>
    <tableColumn id="23" xr3:uid="{E0D82D13-41EB-4F72-BD18-EB82517687CC}" name="VENTA MARTES" dataDxfId="592" totalsRowDxfId="591"/>
    <tableColumn id="24" xr3:uid="{D60C101D-F758-4941-BF29-F16794B75A78}" name="INGRESO MIERCOLES" dataDxfId="590" totalsRowDxfId="589"/>
    <tableColumn id="25" xr3:uid="{D8C01ACA-642F-430C-9627-7D8286E6D0AD}" name="VENTA MIERCOLES" dataDxfId="588" totalsRowDxfId="587"/>
    <tableColumn id="26" xr3:uid="{410F7BC9-38A6-48C7-9128-6D45F386042C}" name="INGRESO JUEVES" dataDxfId="586" totalsRowDxfId="585"/>
    <tableColumn id="27" xr3:uid="{DCC02D27-A6CF-47F0-9904-8D8537FBC210}" name="VENTA JUEVES" dataDxfId="584" totalsRowDxfId="583"/>
    <tableColumn id="28" xr3:uid="{1CE834B2-3102-4699-8DE2-DEB2FB1B674D}" name="INGRESO VIERNES" dataDxfId="582" totalsRowDxfId="581"/>
    <tableColumn id="29" xr3:uid="{ACB245D9-F439-4A37-BE44-EE82F0546A79}" name="SALIDA VIERNES" dataDxfId="580" totalsRowDxfId="579"/>
    <tableColumn id="30" xr3:uid="{26AF8E95-E649-486D-BDCA-3D08DC233708}" name="INGRESO SABADO" dataDxfId="578" totalsRowDxfId="577"/>
    <tableColumn id="31" xr3:uid="{06D5E391-D406-4E59-B814-2EF0E9BF043A}" name="SALIDA SABADO" dataDxfId="576" totalsRowDxfId="575"/>
    <tableColumn id="32" xr3:uid="{0303AFAF-23A2-4BB9-BA68-7B8AD37BE414}" name="VENTA SEMANAL" dataDxfId="574" totalsRowDxfId="573">
      <calculatedColumnFormula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calculatedColumnFormula>
    </tableColumn>
  </tableColumns>
  <tableStyleInfo name="TableStyleLight1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DBC1FCC-F3BF-4436-921B-23937BF25E52}" name="Tabla1346891017253343515967758391991071151231311391471551391631711791871951631711792032112192272352432512592672752832912993073153233313393453533613693773851725" displayName="Tabla1346891017253343515967758391991071151231311391471551391631711791871951631711792032112192272352432512592672752832912993073153233313393453533613693773851725" ref="B243:R264" totalsRowShown="0" headerRowDxfId="572" dataDxfId="571" totalsRowDxfId="569" tableBorderDxfId="570">
  <autoFilter ref="B243:R264" xr:uid="{B2CF9012-6841-4AFF-BBE6-666A0408F258}"/>
  <tableColumns count="17">
    <tableColumn id="1" xr3:uid="{56264B3A-44E8-4331-9DCE-B475A60B1499}" name="SALON H" dataDxfId="568"/>
    <tableColumn id="2" xr3:uid="{412AFD80-023D-49A7-82F2-FA29B2FB2EF3}" name="CODIGO DE VENTA" dataDxfId="567"/>
    <tableColumn id="17" xr3:uid="{7BDD055F-88FD-4C1D-8B3C-678EEDF9E963}" name="INVENTARIO INICIAL" dataDxfId="566">
      <calculatedColumnFormula>Tabla13468910172533435159677583919910711512313113914715513916317117918719516317117920321121922723524325125926727528329129930731532333133934535336136937738517[[#This Row],[STOCK]]</calculatedColumnFormula>
    </tableColumn>
    <tableColumn id="6" xr3:uid="{5BFDA883-7FCD-415E-8A3A-0A0506EC166B}" name="STOCK" dataDxfId="565">
      <calculatedColumnFormula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calculatedColumnFormula>
    </tableColumn>
    <tableColumn id="3" xr3:uid="{7CFD7D0B-BFCD-4896-9A2F-D59790965AFE}" name="INGRESO LUNES" dataDxfId="564"/>
    <tableColumn id="4" xr3:uid="{0E104579-2CA1-493D-AAB2-687FEEAE6104}" name="VENTA LUNES" dataDxfId="563" totalsRowDxfId="562"/>
    <tableColumn id="5" xr3:uid="{0DDAD21E-5F41-427E-A633-08DDA1D0F5D5}" name="INGRESO MARTES" dataDxfId="561" totalsRowDxfId="560"/>
    <tableColumn id="7" xr3:uid="{02B6333C-7F46-4CF4-84F0-371A22E14C29}" name="VENTA MARTES" dataDxfId="559" totalsRowDxfId="558"/>
    <tableColumn id="8" xr3:uid="{FA67E38C-A428-46D2-9EDF-5CB905852B8A}" name="INGRESO MIERCOLES" dataDxfId="557" totalsRowDxfId="556"/>
    <tableColumn id="9" xr3:uid="{FD9671DF-9DAF-48AA-A251-475A76F0B554}" name="VENTA MIERCOLES" dataDxfId="555" totalsRowDxfId="554"/>
    <tableColumn id="10" xr3:uid="{B9D6ECB6-0ACA-4AB7-BB48-FE4463AC0852}" name="INGRESO JUEVES" dataDxfId="553" totalsRowDxfId="552"/>
    <tableColumn id="11" xr3:uid="{42174638-EE1D-46F2-B626-EB24B52B388E}" name="VENTA JUEVES" dataDxfId="551" totalsRowDxfId="550"/>
    <tableColumn id="12" xr3:uid="{097574B6-380C-40F3-85EF-E0274EF4EB50}" name="INGRESO VIERNES" dataDxfId="549" totalsRowDxfId="548"/>
    <tableColumn id="13" xr3:uid="{16639F52-66F0-47B2-88F0-1666D1987C6D}" name="VENTA VIERNES" dataDxfId="547" totalsRowDxfId="546"/>
    <tableColumn id="14" xr3:uid="{220A4902-9BC9-4148-854D-92EA04C727AC}" name=" INGRESO SABADO" dataDxfId="545" totalsRowDxfId="544"/>
    <tableColumn id="15" xr3:uid="{C2478F5B-12B6-4688-A802-071CCA921DE8}" name="VENTA SABADO" dataDxfId="543" totalsRowDxfId="542"/>
    <tableColumn id="16" xr3:uid="{63CF0CD4-8876-451A-8FF3-68905943101E}" name="VENTA SEMANAL" dataDxfId="541" totalsRowDxfId="540">
      <calculatedColumnFormula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calculatedColumnFormula>
    </tableColumn>
  </tableColumns>
  <tableStyleInfo name="TableStyleLight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B31BD9A-859A-417A-B945-D9C64D4523FB}" name="STOCK6876849210010811612413214014813215616417218018815616417219620421222022823624425226026827628429230030831632433234346354362370378101826" displayName="STOCK6876849210010811612413214014813215616417218018815616417219620421222022823624425226026827628429230030831632433234346354362370378101826" ref="B9:R23" totalsRowShown="0" headerRowDxfId="509" dataDxfId="507" totalsRowDxfId="505" headerRowBorderDxfId="508" tableBorderDxfId="506" totalsRowBorderDxfId="504">
  <autoFilter ref="B9:R23" xr:uid="{00000000-0009-0000-0100-000001000000}"/>
  <tableColumns count="17">
    <tableColumn id="1" xr3:uid="{C266D3B8-1174-4ADA-86DA-5DDB3A23B2BB}" name="SALON A" dataDxfId="503" totalsRowDxfId="502"/>
    <tableColumn id="2" xr3:uid="{037EA2E2-54A4-4CBE-B0D3-75ADBDFEFADC}" name="CODIGO DE VENTA" dataDxfId="501" totalsRowDxfId="500"/>
    <tableColumn id="19" xr3:uid="{7498B49B-048A-4690-8611-82CF268C1687}" name="INVENTARIO INICIAL" dataDxfId="499" totalsRowDxfId="498">
      <calculatedColumnFormula>STOCK68768492100108116124132140148132156164172180188156164172196204212220228236244252260268276284292300308316324332343463543623703781018[[#This Row],[STOCK]]</calculatedColumnFormula>
    </tableColumn>
    <tableColumn id="6" xr3:uid="{16EBAF4C-2C90-4C49-99C5-83BE0EC3A657}" name="STOCK" dataDxfId="497">
      <calculatedColumnFormula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calculatedColumnFormula>
    </tableColumn>
    <tableColumn id="3" xr3:uid="{6554FB7F-D7C1-40E5-97FA-352F4875DD4B}" name="INGRESO LUNES" dataDxfId="496" totalsRowDxfId="495"/>
    <tableColumn id="18" xr3:uid="{E9E4607F-2BFE-414D-B1CE-7B8A1230F760}" name="VENTA    LUNES" dataDxfId="494" totalsRowDxfId="493"/>
    <tableColumn id="17" xr3:uid="{F4B19707-C03C-4215-AB17-923885F1CF75}" name="INGRESO MARTES" dataDxfId="492" totalsRowDxfId="491"/>
    <tableColumn id="16" xr3:uid="{D5E61215-2EDC-4447-8FF2-D56228C21F13}" name="VENTA MARTES" dataDxfId="490" totalsRowDxfId="489"/>
    <tableColumn id="15" xr3:uid="{024602C6-1C8B-4B43-8E6F-6DD600AA56F4}" name="INGRESO MIERCOLES" dataDxfId="488" totalsRowDxfId="487"/>
    <tableColumn id="14" xr3:uid="{49C06098-D07B-4AF5-B52E-BF2550ECDD7A}" name="VENTA MIERCOLES" dataDxfId="486" totalsRowDxfId="485"/>
    <tableColumn id="13" xr3:uid="{410AA407-A861-43A8-9D0A-A93A9351A380}" name="INGRESO JUEVES" dataDxfId="484" totalsRowDxfId="483"/>
    <tableColumn id="12" xr3:uid="{6C1DD006-AF1A-44CB-AF5D-44D035FF7E62}" name="VENTA JUEVES" dataDxfId="482" totalsRowDxfId="481"/>
    <tableColumn id="11" xr3:uid="{20EA68B0-2AE2-47BE-8DCA-B2F8D2BC9460}" name="INGRESO VIERNES" dataDxfId="480" totalsRowDxfId="479"/>
    <tableColumn id="10" xr3:uid="{89F11BCF-6003-4A94-8B79-D375DE51C9EE}" name="VENTA VIERNES" dataDxfId="478" totalsRowDxfId="477"/>
    <tableColumn id="9" xr3:uid="{06FA3AA0-E172-49D5-9983-DB64F7646D5F}" name=" INGRESO SABADO" dataDxfId="476" totalsRowDxfId="475"/>
    <tableColumn id="8" xr3:uid="{50F0FC68-B736-44D6-88E4-DB60F25E61DE}" name="VENTA SABADO" dataDxfId="474" totalsRowDxfId="473"/>
    <tableColumn id="7" xr3:uid="{B6B3B2CA-6E00-4F7F-863A-42995F470F57}" name="VENTA SEMANAL" dataDxfId="472" totalsRowDxfId="471">
      <calculatedColumnFormula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BD16DE1-FF48-4A62-86E6-3911B27D9456}" name="Tabla13111927374553616977859310110911712513314114913315716517318118915716517319720521322122923724525326126927728529330130931732533335347355363371379111927" displayName="Tabla13111927374553616977859310110911712513314114913315716517318118915716517319720521322122923724525326126927728529330130931732533335347355363371379111927" ref="B25:R56" totalsRowShown="0" headerRowDxfId="470" dataDxfId="469" totalsRowDxfId="467" tableBorderDxfId="468">
  <autoFilter ref="B25:R56" xr:uid="{15BAFCEE-E72F-4E0E-AE76-1DFB3C3F5C2F}"/>
  <tableColumns count="17">
    <tableColumn id="1" xr3:uid="{9A673449-50BC-4570-8026-ABCE01D31ACB}" name="SALON B" dataDxfId="466"/>
    <tableColumn id="2" xr3:uid="{EBEB6B58-0163-4104-9A93-A4EBDD6FE18B}" name="CODIGO DE VENTA" dataDxfId="465"/>
    <tableColumn id="17" xr3:uid="{6A675711-4C6D-466B-8842-FA05DAD23586}" name="INVENTARIO INICIAL" dataDxfId="464">
      <calculatedColumnFormula>Tabla131119273745536169778593101109117125133141149133157165173181189157165173197205213221229237245253261269277285293301309317325333353473553633713791119[[#This Row],[STOCK]]</calculatedColumnFormula>
    </tableColumn>
    <tableColumn id="6" xr3:uid="{4CEBFE8F-DF0F-4200-B739-4D54C3F7DDEE}" name="STOCK" dataDxfId="463">
      <calculatedColumnFormula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calculatedColumnFormula>
    </tableColumn>
    <tableColumn id="3" xr3:uid="{81E4A0A3-5004-43BD-942D-B4BE143C93C5}" name="INGRESO LUNES" dataDxfId="462"/>
    <tableColumn id="4" xr3:uid="{4D379FA3-2213-42C2-91CB-4112038A026F}" name="VENTA LUNES" dataDxfId="461" totalsRowDxfId="460"/>
    <tableColumn id="5" xr3:uid="{4CC0DB85-31E7-4F93-8ADF-9BF92E285F8E}" name="INGRESO MARTES" dataDxfId="459" totalsRowDxfId="458"/>
    <tableColumn id="7" xr3:uid="{D05FE8FD-BEFE-4A79-98AE-284050BF6F65}" name="VENTA MARTES" dataDxfId="457"/>
    <tableColumn id="8" xr3:uid="{AA346FD1-C219-4395-ADC6-C3652C1D68AF}" name="INGRESO MIERCOLES" dataDxfId="456"/>
    <tableColumn id="9" xr3:uid="{E698A9FB-01F3-4DCC-AD78-E623936F7FC0}" name="VENTA MIERCOLES" dataDxfId="455"/>
    <tableColumn id="10" xr3:uid="{D1235D64-58CF-4B43-B82C-F521DECFB7A5}" name="INGRESO JUEVES" dataDxfId="454"/>
    <tableColumn id="11" xr3:uid="{55878DE2-0D71-4E55-ACFE-EAAE4679BB83}" name="VENTA JUEVES" dataDxfId="453"/>
    <tableColumn id="12" xr3:uid="{327F2FE5-C803-4E41-BE30-1FDE84D13117}" name="INGRESO VIERNES" dataDxfId="452"/>
    <tableColumn id="13" xr3:uid="{BD88B523-7782-4A96-A3CC-A2F96DC6061E}" name="VENTA VIERNES" dataDxfId="451"/>
    <tableColumn id="14" xr3:uid="{B20F608D-7E86-49F8-ABEF-115110352A38}" name=" INGRESO SABADO" dataDxfId="450"/>
    <tableColumn id="15" xr3:uid="{6266AE4F-CE5E-4875-BB04-D9DE6AAC224D}" name="VENTA SABADO" dataDxfId="449"/>
    <tableColumn id="16" xr3:uid="{297AB842-241C-4BF5-8776-536D1A188131}" name="VENTA SEMANAL" dataDxfId="448" totalsRowDxfId="447">
      <calculatedColumnFormula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calculatedColumnFormula>
    </tableColumn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3B70115-B79E-46D9-B47A-E1E029412DE1}" name="Tabla1341220283846546270788694102110118126134142150134158166174182190158166174198206214222230238246254262270278286294302310318326334340348356364372380122028" displayName="Tabla1341220283846546270788694102110118126134142150134158166174182190158166174198206214222230238246254262270278286294302310318326334340348356364372380122028" ref="B58:R96" totalsRowShown="0" headerRowDxfId="446" totalsRowDxfId="444" tableBorderDxfId="445">
  <autoFilter ref="B58:R96" xr:uid="{63FA84B0-D74F-4CBD-85BD-3759E1F4F2A1}"/>
  <tableColumns count="17">
    <tableColumn id="1" xr3:uid="{1232D182-CBE6-42DA-B831-F4F508725662}" name="SALON C" dataDxfId="443"/>
    <tableColumn id="2" xr3:uid="{5CF3400D-6457-410B-805F-1D61EEDCD023}" name="CODIGO DE VENTA" dataDxfId="442"/>
    <tableColumn id="17" xr3:uid="{94A26A74-C833-434B-A1BB-AFD2750B9BC5}" name="INVENTARIO INICIAL" dataDxfId="441">
      <calculatedColumnFormula>Tabla13412202838465462707886941021101181261341421501341581661741821901581661741982062142222302382462542622702782862943023103183263343403483563643723801220[[#This Row],[STOCK]]</calculatedColumnFormula>
    </tableColumn>
    <tableColumn id="6" xr3:uid="{8D9DDF61-23B2-45E2-B2AB-DF46E66C3EE3}" name="STOCK" dataDxfId="440">
      <calculatedColumnFormula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calculatedColumnFormula>
    </tableColumn>
    <tableColumn id="3" xr3:uid="{8A2899C0-35A7-456E-8197-119B718631FD}" name="INGRESO LUNES" dataDxfId="439"/>
    <tableColumn id="4" xr3:uid="{1692966D-A7D9-43B7-B856-701AB3F3C1FB}" name="VENTA LUNES" dataDxfId="438"/>
    <tableColumn id="5" xr3:uid="{6DA8FAEE-2776-4B8A-870A-E80F6028F26F}" name="INGRESO MARTES" dataDxfId="437"/>
    <tableColumn id="7" xr3:uid="{D959A28E-440E-4949-B5CD-721F92A577B6}" name="VENTA MARTES" dataDxfId="436"/>
    <tableColumn id="8" xr3:uid="{CAD5F837-5B27-4394-B3F1-020B029EE573}" name="INGRESO MIERCOLES" dataDxfId="435"/>
    <tableColumn id="9" xr3:uid="{8F2EF36B-49CC-4A4B-BA2C-8472F3F01AE3}" name="VENTA MIERCOLES" dataDxfId="434"/>
    <tableColumn id="10" xr3:uid="{C73D75AA-8357-4916-B843-4C98023580C9}" name="INGRESO JUEVES" dataDxfId="433"/>
    <tableColumn id="11" xr3:uid="{10C085EA-1693-4FA8-85B3-9A3B866D78BB}" name="VENTA JUEVES" dataDxfId="432"/>
    <tableColumn id="12" xr3:uid="{99F5F17C-18B0-4DBC-9061-F4D728B1BA15}" name="INGRESO VIERNES" dataDxfId="431"/>
    <tableColumn id="13" xr3:uid="{E88603FB-FC0D-4BC7-BCE8-80E34D56206D}" name="VENTA VIERNES" dataDxfId="430"/>
    <tableColumn id="14" xr3:uid="{96993C71-0C08-435B-BFBB-23ACFD82A16F}" name=" INGRESO SABADO" dataDxfId="429"/>
    <tableColumn id="15" xr3:uid="{514DAA50-101A-43F2-8048-0832B412F165}" name="VENTA SABADO" dataDxfId="428"/>
    <tableColumn id="16" xr3:uid="{C2AB22A4-1818-42AD-A583-072FAD2B5501}" name="VENTA SEMANAL" dataDxfId="427">
      <calculatedColumnFormula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calculatedColumnFormula>
    </tableColumn>
  </tableColumns>
  <tableStyleInfo name="TableStyleLight1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AFFE31B-4599-41D3-9737-1931043558EB}" name="Tabla13461321293947556371798795103111119127135143151135159167175183191159167175199207215223231239247255263271279287295303311319327335341349357365373381132129" displayName="Tabla13461321293947556371798795103111119127135143151135159167175183191159167175199207215223231239247255263271279287295303311319327335341349357365373381132129" ref="B98:R134" totalsRowShown="0" headerRowDxfId="426" dataDxfId="425" totalsRowDxfId="423" tableBorderDxfId="424">
  <autoFilter ref="B98:R134" xr:uid="{3645459F-BBF3-4783-8454-E0A96E467B27}"/>
  <tableColumns count="17">
    <tableColumn id="1" xr3:uid="{468364A3-E7D6-4AF1-8A45-273F750B70F0}" name="SALON D" dataDxfId="422"/>
    <tableColumn id="2" xr3:uid="{AC058971-6065-4B13-9516-63CFAB851A30}" name="CODIGO DE VENTA" dataDxfId="421"/>
    <tableColumn id="17" xr3:uid="{A0EEF69F-883B-4C6E-8ADD-1281D3819FB1}" name="INVENTARIO INICIAL" dataDxfId="420">
      <calculatedColumnFormula>Tabla134613212939475563717987951031111191271351431511351591671751831911591671751992072152232312392472552632712792872953033113193273353413493573653733811321[[#This Row],[STOCK]]</calculatedColumnFormula>
    </tableColumn>
    <tableColumn id="6" xr3:uid="{DAAF8612-0C19-4D7F-A4C3-625520404362}" name="STOCK" dataDxfId="419">
      <calculatedColumnFormula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calculatedColumnFormula>
    </tableColumn>
    <tableColumn id="3" xr3:uid="{7BEFA599-DB27-40F3-84E3-7D7CB3F32C4D}" name="INGRESO LUNES" dataDxfId="418"/>
    <tableColumn id="4" xr3:uid="{5A245093-B6B2-4695-AFBB-3D5C00A63595}" name="VENTA LUNES" dataDxfId="417" totalsRowDxfId="416"/>
    <tableColumn id="5" xr3:uid="{DC44870B-6438-40B7-8911-0C87B207FF97}" name="INGRESO MARTES" dataDxfId="415" totalsRowDxfId="414"/>
    <tableColumn id="7" xr3:uid="{FC863DBD-1E06-4114-91D3-ED5BFC34B298}" name="VENTA MARTES" dataDxfId="413" totalsRowDxfId="412"/>
    <tableColumn id="8" xr3:uid="{AB0D0BBD-CD71-4A19-9AE8-F3E180991EFB}" name="INGRESO MIERCOLES" dataDxfId="411" totalsRowDxfId="410"/>
    <tableColumn id="9" xr3:uid="{068D5E1C-12EF-4E1E-9BE4-7E7ECDDDA624}" name="VENTA MIERCOLES" dataDxfId="409" totalsRowDxfId="408"/>
    <tableColumn id="10" xr3:uid="{A76F9FCB-6433-41BE-92A2-7D8C7C3C24B9}" name="INGRESO JUEVES" dataDxfId="407" totalsRowDxfId="406"/>
    <tableColumn id="11" xr3:uid="{C067521C-1E4F-40D7-AD24-3C2BC874D028}" name="VENTA JUEVES" dataDxfId="405" totalsRowDxfId="404"/>
    <tableColumn id="12" xr3:uid="{77740F44-3DB3-4C54-9696-2943E4D921E1}" name="INGRESO VIERNES" dataDxfId="403" totalsRowDxfId="402"/>
    <tableColumn id="13" xr3:uid="{9A484514-CE70-489D-96A3-84A838227B48}" name="VENTA VIERNES" dataDxfId="401" totalsRowDxfId="400"/>
    <tableColumn id="14" xr3:uid="{B0C75785-077D-4476-8482-0CA86846AEB0}" name=" INGRESO SABADO" dataDxfId="399" totalsRowDxfId="398"/>
    <tableColumn id="15" xr3:uid="{E5496757-7698-450A-94C6-F20CE9CFE409}" name="VENTA SABADO" dataDxfId="397" totalsRowDxfId="396"/>
    <tableColumn id="16" xr3:uid="{A65CFD23-2956-4D6F-996A-B1B3D4E1C255}" name="VENTA SEMANAL" dataDxfId="395" totalsRowDxfId="394">
      <calculatedColumnFormula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calculatedColumnFormula>
    </tableColumn>
  </tableColumns>
  <tableStyleInfo name="TableStyleLight1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B1D936B-A21C-4A83-9A91-2A7D552751E1}" name="Tabla134671422304048566472808896104112120128136144152136160168176184192160168176200208216224232240248256264272280288296304312320328336342350358366374382142230" displayName="Tabla134671422304048566472808896104112120128136144152136160168176184192160168176200208216224232240248256264272280288296304312320328336342350358366374382142230" ref="B136:R151" totalsRowShown="0" headerRowDxfId="393" dataDxfId="392" totalsRowDxfId="390" tableBorderDxfId="391">
  <autoFilter ref="B136:R151" xr:uid="{D869367D-8E32-4085-AC49-828DDEF66650}"/>
  <tableColumns count="17">
    <tableColumn id="1" xr3:uid="{04BDCC94-BB1D-40D0-8D45-27A0F48518D5}" name="SALON E" dataDxfId="389"/>
    <tableColumn id="2" xr3:uid="{1383CF4F-0C86-41D4-982B-B05E070BD99A}" name="CODIGO DE VENTA" dataDxfId="388"/>
    <tableColumn id="17" xr3:uid="{9DAC9D4F-439F-4641-A2F0-83025F3C94C3}" name="INVENTARIO INICIAL" dataDxfId="387">
      <calculatedColumnFormula>Tabla1346714223040485664728088961041121201281361441521361601681761841921601681762002082162242322402482562642722802882963043123203283363423503583663743821422[[#This Row],[STOCK]]</calculatedColumnFormula>
    </tableColumn>
    <tableColumn id="6" xr3:uid="{809C5712-C0BA-474D-96BA-A1E6D750354C}" name="STOCK" dataDxfId="386">
      <calculatedColumnFormula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calculatedColumnFormula>
    </tableColumn>
    <tableColumn id="3" xr3:uid="{181A853A-8657-4C0A-A6D9-183A1AD9969A}" name="INGRESO LUNES" dataDxfId="385"/>
    <tableColumn id="4" xr3:uid="{5D0BD3E7-CEEA-410E-BB54-BF5840D2CDED}" name="VENTA LUNES" dataDxfId="384"/>
    <tableColumn id="5" xr3:uid="{18044FAA-DFF1-4FB5-9C79-2060052A7B6C}" name="INGRESO MARTES" dataDxfId="383"/>
    <tableColumn id="7" xr3:uid="{BD9E85C2-D4A8-4581-85D7-670C79D7B053}" name="VENTA MARTES" dataDxfId="382"/>
    <tableColumn id="8" xr3:uid="{ADDBDD04-B2A6-4589-A4EC-7E858B2770A3}" name="INGRESO MIERCOLES" dataDxfId="381"/>
    <tableColumn id="9" xr3:uid="{A7D9ACD9-CB95-452B-B045-E543B91E69ED}" name="VENTA MIERCOLES" dataDxfId="380"/>
    <tableColumn id="10" xr3:uid="{DC654B60-5226-4BE4-A115-109F5A33F5F8}" name="INGRESO JUEVES" dataDxfId="379"/>
    <tableColumn id="11" xr3:uid="{08ED989D-3983-4DBE-BF9B-AA961CD7F1CB}" name="VENTA JUEVES" dataDxfId="378"/>
    <tableColumn id="12" xr3:uid="{CED6AC27-9F8B-4272-9A9A-367937914DDF}" name="INGRESO VIERNES" dataDxfId="377"/>
    <tableColumn id="13" xr3:uid="{F2EC121D-4E3E-4734-8288-85DF2D16F063}" name="VENTA VIERNES" dataDxfId="376"/>
    <tableColumn id="14" xr3:uid="{4230436F-3007-4714-BB62-77DA55B49020}" name=" INGRESO SABADO" dataDxfId="375"/>
    <tableColumn id="15" xr3:uid="{3CDE55FE-FA03-4301-8CDF-03FF01FE0200}" name="VENTA SABADO" dataDxfId="374"/>
    <tableColumn id="16" xr3:uid="{AC0F8166-8A74-4A0D-A470-BEEF91F93D44}" name="VENTA SEMANAL" dataDxfId="373">
      <calculatedColumnFormula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calculatedColumnFormula>
    </tableColumn>
  </tableColumns>
  <tableStyleInfo name="TableStyleLight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5BD49EA-5FB1-4A3E-BDBE-5BB58E858387}" name="Tabla134681523314149576573818997105113121129137145153137161169177185193161169177201209217225233241249257265273281289297305313321329337343351359367375383152331" displayName="Tabla134681523314149576573818997105113121129137145153137161169177185193161169177201209217225233241249257265273281289297305313321329337343351359367375383152331" ref="B153:R193" totalsRowShown="0" headerRowDxfId="372" dataDxfId="371" totalsRowDxfId="369" tableBorderDxfId="370">
  <autoFilter ref="B153:R193" xr:uid="{0D12A3DE-A04A-46C3-84D3-310CEE70C113}"/>
  <tableColumns count="17">
    <tableColumn id="1" xr3:uid="{F325E82B-3D96-4E0B-9520-40A2E3203DAD}" name="SALON F" dataDxfId="368"/>
    <tableColumn id="2" xr3:uid="{580BBD43-BFC0-4408-A3B3-8F8777623DF8}" name="CODIGO DE VENTA" dataDxfId="367"/>
    <tableColumn id="18" xr3:uid="{555C36B2-7F31-4064-BCBF-4390ED608B18}" name="INVENTARIO INICIAL" dataDxfId="366">
      <calculatedColumnFormula>Tabla1346815233141495765738189971051131211291371451531371611691771851931611691772012092172252332412492572652732812892973053133213293373433513593673753831523[[#This Row],[STOCK]]</calculatedColumnFormula>
    </tableColumn>
    <tableColumn id="19" xr3:uid="{E6DE6212-6ADE-4659-893E-0B66E1D3F82E}" name="STOCK" dataDxfId="365" totalsRowDxfId="364">
      <calculatedColumnFormula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calculatedColumnFormula>
    </tableColumn>
    <tableColumn id="20" xr3:uid="{9781424E-F679-483E-8316-990F2E8B3B36}" name="INGRESO LUNES" dataDxfId="363" totalsRowDxfId="362"/>
    <tableColumn id="21" xr3:uid="{78AA0560-057E-473E-A98D-520E79D6CDE2}" name="VENTA LUNES" dataDxfId="361" totalsRowDxfId="360"/>
    <tableColumn id="22" xr3:uid="{B64BC870-2AFE-42AE-BBCC-35FD30C82658}" name="INGRESO MARTES" dataDxfId="359" totalsRowDxfId="358"/>
    <tableColumn id="23" xr3:uid="{13C7EA9C-407F-4342-AC4D-97C124E51361}" name="VENTA MARTES" dataDxfId="357" totalsRowDxfId="356"/>
    <tableColumn id="24" xr3:uid="{BD22EB2C-C37F-41EF-93CF-C0661D74938F}" name="INGRESO MIERCOLES" dataDxfId="355" totalsRowDxfId="354"/>
    <tableColumn id="25" xr3:uid="{4BDEA75B-FFAC-4E47-A3C8-66F49A316821}" name="VENTA MIERCOLES" dataDxfId="353" totalsRowDxfId="352"/>
    <tableColumn id="26" xr3:uid="{96713A95-0901-47B5-9E17-0C5042AF6D73}" name="INGRESO JUEVES" dataDxfId="351" totalsRowDxfId="350"/>
    <tableColumn id="27" xr3:uid="{A5AE03BA-8F96-47E4-9163-E6B2AD0CDE4E}" name="VENTA JUEVES" dataDxfId="349" totalsRowDxfId="348"/>
    <tableColumn id="28" xr3:uid="{0F254E8D-FDA9-431C-B610-10CDC7C43BB7}" name="INGRESO VIERNES" dataDxfId="347" totalsRowDxfId="346"/>
    <tableColumn id="29" xr3:uid="{2CF46ED1-D0E5-493C-A29A-9519AE0B22D5}" name="VENTA VIERNES" dataDxfId="345" totalsRowDxfId="344"/>
    <tableColumn id="30" xr3:uid="{B54BB3FD-528B-4960-BF91-DBB71D14C02E}" name=" INGRESO SABADO" dataDxfId="343" totalsRowDxfId="342"/>
    <tableColumn id="31" xr3:uid="{07A95D25-D92A-4003-BFD1-7283B7F08EF6}" name="VENTA SABADO" dataDxfId="341" totalsRowDxfId="340"/>
    <tableColumn id="32" xr3:uid="{785BD1AC-C29B-42A7-A14A-7232B2A48E48}" name="VENTA SEMANAL" dataDxfId="339" totalsRowDxfId="338">
      <calculatedColumnFormula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calculatedColumnFormula>
    </tableColumn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93DE445-7867-4DA1-86F6-90A179E3A7DB}" name="Tabla1346891624324250586674829098106114122130138146154138162170178186194162170178202210218226234242250258266274282290298306314322330338344352360368376384162432" displayName="Tabla1346891624324250586674829098106114122130138146154138162170178186194162170178202210218226234242250258266274282290298306314322330338344352360368376384162432" ref="B195:R241" totalsRowShown="0" headerRowDxfId="337" dataDxfId="336" totalsRowDxfId="334" tableBorderDxfId="335">
  <autoFilter ref="B195:R241" xr:uid="{FB91264E-6878-4532-AA11-1B27A6D4908D}"/>
  <tableColumns count="17">
    <tableColumn id="1" xr3:uid="{DAF622EE-0AC3-4749-8751-31DCEE66AD60}" name="SALON G" dataDxfId="333"/>
    <tableColumn id="2" xr3:uid="{C82FC750-040D-49F6-A4DD-BDBB54C66001}" name="CODIGO DE VENTA" dataDxfId="332"/>
    <tableColumn id="18" xr3:uid="{53FF4E4A-4C98-48D9-9DAF-328A0206A52D}" name="INVENTARIO INICIAL" dataDxfId="331">
      <calculatedColumnFormula>Tabla13468916243242505866748290981061141221301381461541381621701781861941621701782022102182262342422502582662742822902983063143223303383443523603683763841624[[#This Row],[STOCK]]</calculatedColumnFormula>
    </tableColumn>
    <tableColumn id="19" xr3:uid="{4075C7B8-14D5-472A-8F5A-50BC6474C7C0}" name="STOCK" dataDxfId="330" totalsRowDxfId="329">
      <calculatedColumnFormula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calculatedColumnFormula>
    </tableColumn>
    <tableColumn id="20" xr3:uid="{543BF494-C308-4FA2-946A-B3C5F2790287}" name="INGRESO LUNES" dataDxfId="328" totalsRowDxfId="327"/>
    <tableColumn id="21" xr3:uid="{468E7098-864C-4E2B-B726-5E1DD92D9C59}" name="VENTA LUNES" dataDxfId="326" totalsRowDxfId="325"/>
    <tableColumn id="22" xr3:uid="{DEBB5119-994F-40E6-BAEF-B659003CE485}" name="INGRESO MARTES" dataDxfId="324" totalsRowDxfId="323"/>
    <tableColumn id="23" xr3:uid="{4CF71E1B-B1F8-4832-BA95-808C5ED12015}" name="VENTA MARTES" dataDxfId="322" totalsRowDxfId="321"/>
    <tableColumn id="24" xr3:uid="{680C6CBB-0084-437D-9D48-CBFBB60BC21C}" name="INGRESO MIERCOLES" dataDxfId="320" totalsRowDxfId="319"/>
    <tableColumn id="25" xr3:uid="{9FD577A5-7D01-4F43-936A-F44C17C42E2A}" name="VENTA MIERCOLES" dataDxfId="318" totalsRowDxfId="317"/>
    <tableColumn id="26" xr3:uid="{67229898-D7D2-43C3-AB0D-6FED75F8AEE2}" name="INGRESO JUEVES" dataDxfId="316" totalsRowDxfId="315"/>
    <tableColumn id="27" xr3:uid="{8FD5C5E3-6C86-4509-A86B-99175BBA060B}" name="VENTA JUEVES" dataDxfId="314" totalsRowDxfId="313"/>
    <tableColumn id="28" xr3:uid="{9D6EF208-D3F7-4849-9528-0DE2AA6DB1CB}" name="INGRESO VIERNES" dataDxfId="312" totalsRowDxfId="311"/>
    <tableColumn id="29" xr3:uid="{9BF90EB8-D03A-4137-A77F-EDD4DEBFC4CB}" name="SALIDA VIERNES" dataDxfId="310" totalsRowDxfId="309"/>
    <tableColumn id="30" xr3:uid="{A8207704-6A38-40BE-9547-CC9908E1CE3D}" name="INGRESO SABADO" dataDxfId="308" totalsRowDxfId="307"/>
    <tableColumn id="31" xr3:uid="{3C1BD955-7B33-47D6-816E-53BD833EB63F}" name="SALIDA SABADO" dataDxfId="306" totalsRowDxfId="305"/>
    <tableColumn id="32" xr3:uid="{47899BC8-68E4-427E-B718-C7D909E5B197}" name="VENTA SEMANAL" dataDxfId="304" totalsRowDxfId="303">
      <calculatedColumnFormula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calculatedColumnFormula>
    </tableColumn>
  </tableColumns>
  <tableStyleInfo name="TableStyleLight1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92D53FE-97C9-4378-B858-71B677DCF20F}" name="Tabla134689101725334351596775839199107115123131139147155139163171179187195163171179203211219227235243251259267275283291299307315323331339345353361369377385172533" displayName="Tabla134689101725334351596775839199107115123131139147155139163171179187195163171179203211219227235243251259267275283291299307315323331339345353361369377385172533" ref="B243:R264" totalsRowShown="0" headerRowDxfId="302" dataDxfId="301" totalsRowDxfId="299" tableBorderDxfId="300">
  <autoFilter ref="B243:R264" xr:uid="{B2CF9012-6841-4AFF-BBE6-666A0408F258}"/>
  <tableColumns count="17">
    <tableColumn id="1" xr3:uid="{01E894F9-4B3F-4BEA-B634-C5AA79BE748A}" name="SALON H" dataDxfId="298"/>
    <tableColumn id="2" xr3:uid="{BDFE77FB-EC72-43F4-8F9F-E326030FDB01}" name="CODIGO DE VENTA" dataDxfId="297"/>
    <tableColumn id="17" xr3:uid="{BCE9BB5F-0906-4232-AE0A-D71711700FFF}" name="INVENTARIO INICIAL" dataDxfId="296">
      <calculatedColumnFormula>Tabla1346891017253343515967758391991071151231311391471551391631711791871951631711792032112192272352432512592672752832912993073153233313393453533613693773851725[[#This Row],[STOCK]]</calculatedColumnFormula>
    </tableColumn>
    <tableColumn id="6" xr3:uid="{1A277F3B-6594-4810-A35A-2B6BFBE21944}" name="STOCK" dataDxfId="295">
      <calculatedColumnFormula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calculatedColumnFormula>
    </tableColumn>
    <tableColumn id="3" xr3:uid="{6900DF8C-CF8F-45E8-BCA5-B44AB77834CC}" name="INGRESO LUNES" dataDxfId="294"/>
    <tableColumn id="4" xr3:uid="{78467649-E938-4ABF-9670-439DB696AC5F}" name="VENTA LUNES" dataDxfId="293" totalsRowDxfId="292"/>
    <tableColumn id="5" xr3:uid="{A841FB9C-FFA0-4FD4-843A-72B6BE4B1F09}" name="INGRESO MARTES" dataDxfId="291" totalsRowDxfId="290"/>
    <tableColumn id="7" xr3:uid="{5086CD5D-9E9A-43F9-9371-FA6B9A7D62C2}" name="VENTA MARTES" dataDxfId="289" totalsRowDxfId="288"/>
    <tableColumn id="8" xr3:uid="{FFAF823D-D80A-4CF3-8150-DE51B1D4E0DD}" name="INGRESO MIERCOLES" dataDxfId="287" totalsRowDxfId="286"/>
    <tableColumn id="9" xr3:uid="{4D908487-32B3-4ACD-AADD-445B9E650264}" name="VENTA MIERCOLES" dataDxfId="285" totalsRowDxfId="284"/>
    <tableColumn id="10" xr3:uid="{00E3DA8B-AD11-4159-8F4C-7B63D96B2080}" name="INGRESO JUEVES" dataDxfId="283" totalsRowDxfId="282"/>
    <tableColumn id="11" xr3:uid="{4A7091F3-F07C-4B0E-9AA3-F9415351DB15}" name="VENTA JUEVES" dataDxfId="281" totalsRowDxfId="280"/>
    <tableColumn id="12" xr3:uid="{CBBFE97F-8232-49EE-80AE-DCB0D4E4A502}" name="INGRESO VIERNES" dataDxfId="279" totalsRowDxfId="278"/>
    <tableColumn id="13" xr3:uid="{C62AAE4D-5762-43F4-9A20-0B8206FB38E7}" name="VENTA VIERNES" dataDxfId="277" totalsRowDxfId="276"/>
    <tableColumn id="14" xr3:uid="{3325FD49-A2B5-4A35-AF04-4D1E826C847D}" name=" INGRESO SABADO" dataDxfId="275" totalsRowDxfId="274"/>
    <tableColumn id="15" xr3:uid="{F75983E4-010A-4F84-ACD7-34FE247CCD09}" name="VENTA SABADO" dataDxfId="273" totalsRowDxfId="272"/>
    <tableColumn id="16" xr3:uid="{2FF549AF-D3F3-408F-BC36-C433C4C83B4E}" name="VENTA SEMANAL" dataDxfId="271" totalsRowDxfId="270">
      <calculatedColumnFormula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calculatedColumnFormula>
    </tableColumn>
  </tableColumns>
  <tableStyleInfo name="TableStyleLight1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9FB715F-541C-447F-9E22-D0F0835E6E0D}" name="STOCK687684921001081161241321401481321561641721801881561641721962042122202282362442522602682762842923003083163243323434635436237037810182634" displayName="STOCK687684921001081161241321401481321561641721801881561641721962042122202282362442522602682762842923003083163243323434635436237037810182634" ref="B9:R23" totalsRowShown="0" headerRowDxfId="239" dataDxfId="237" totalsRowDxfId="235" headerRowBorderDxfId="238" tableBorderDxfId="236" totalsRowBorderDxfId="234">
  <autoFilter ref="B9:R23" xr:uid="{00000000-0009-0000-0100-000001000000}"/>
  <tableColumns count="17">
    <tableColumn id="1" xr3:uid="{7E8F8B9D-2D0E-49C0-AF23-8200F7B30643}" name="SALON A" dataDxfId="233" totalsRowDxfId="232"/>
    <tableColumn id="2" xr3:uid="{C12E02DD-C5D1-4033-9640-38C798A5808C}" name="CODIGO DE VENTA" dataDxfId="231" totalsRowDxfId="230"/>
    <tableColumn id="19" xr3:uid="{1234A8B0-495C-4B75-BDF3-892DECACDB4A}" name="INVENTARIO INICIAL" dataDxfId="229" totalsRowDxfId="228">
      <calculatedColumnFormula>STOCK6876849210010811612413214014813215616417218018815616417219620421222022823624425226026827628429230030831632433234346354362370378101826[[#This Row],[STOCK]]</calculatedColumnFormula>
    </tableColumn>
    <tableColumn id="6" xr3:uid="{B10088BF-CC10-4DC8-95FC-CE1A1838535F}" name="STOCK" dataDxfId="227">
      <calculatedColumnFormula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calculatedColumnFormula>
    </tableColumn>
    <tableColumn id="3" xr3:uid="{389CF52D-4F93-4211-AD2B-7B732C77B4D4}" name="INGRESO LUNES" dataDxfId="226" totalsRowDxfId="225"/>
    <tableColumn id="18" xr3:uid="{2D1B0D58-45A4-49D8-8B74-4245F03383BE}" name="VENTA    LUNES" dataDxfId="224" totalsRowDxfId="223"/>
    <tableColumn id="17" xr3:uid="{4E4CCE76-851A-4587-9929-EEF0839AE80E}" name="INGRESO MARTES" dataDxfId="222" totalsRowDxfId="221"/>
    <tableColumn id="16" xr3:uid="{76603879-6770-446A-A975-35A03694E7E4}" name="VENTA MARTES" dataDxfId="220" totalsRowDxfId="219"/>
    <tableColumn id="15" xr3:uid="{1B8E0BCB-2762-44CB-8063-340A2CEA9873}" name="INGRESO MIERCOLES" dataDxfId="218" totalsRowDxfId="217"/>
    <tableColumn id="14" xr3:uid="{A5D06C3B-B84C-4887-8922-04CED4E77FBD}" name="VENTA MIERCOLES" dataDxfId="216" totalsRowDxfId="215"/>
    <tableColumn id="13" xr3:uid="{36854937-7D47-42A9-969C-6A449D2541AB}" name="INGRESO JUEVES" dataDxfId="214" totalsRowDxfId="213"/>
    <tableColumn id="12" xr3:uid="{87FC1CE6-5154-4C47-8A82-4DC1A16AF86F}" name="VENTA JUEVES" dataDxfId="212" totalsRowDxfId="211"/>
    <tableColumn id="11" xr3:uid="{E3D4D012-F306-4ADD-8824-6839532DDC01}" name="INGRESO VIERNES" dataDxfId="210" totalsRowDxfId="209"/>
    <tableColumn id="10" xr3:uid="{4E993C22-B970-443E-8934-32579C40247B}" name="VENTA VIERNES" dataDxfId="208" totalsRowDxfId="207"/>
    <tableColumn id="9" xr3:uid="{F2A40D14-0A76-4BE8-88AC-CC4B1E076319}" name=" INGRESO SABADO" dataDxfId="206" totalsRowDxfId="205"/>
    <tableColumn id="8" xr3:uid="{5F800E2D-00D7-44F0-AA48-1F126BAF8787}" name="VENTA SABADO" dataDxfId="204" totalsRowDxfId="203"/>
    <tableColumn id="7" xr3:uid="{7AB4D6BE-A6DE-4585-A55D-B22AD0DC90FB}" name="VENTA SEMANAL" dataDxfId="202" totalsRowDxfId="201">
      <calculatedColumnFormula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72FB57E-A2A0-4739-968B-66036C20BE9F}" name="Tabla1311192737455361697785931011091171251331411491331571651731811891571651731972052132212292372452532612692772852933013093173253333534735536337137911192735" displayName="Tabla1311192737455361697785931011091171251331411491331571651731811891571651731972052132212292372452532612692772852933013093173253333534735536337137911192735" ref="B25:R56" totalsRowShown="0" headerRowDxfId="200" dataDxfId="199" totalsRowDxfId="197" tableBorderDxfId="198">
  <autoFilter ref="B25:R56" xr:uid="{15BAFCEE-E72F-4E0E-AE76-1DFB3C3F5C2F}"/>
  <tableColumns count="17">
    <tableColumn id="1" xr3:uid="{CD0783F3-EB18-468A-8C61-BB112926F422}" name="SALON B" dataDxfId="196"/>
    <tableColumn id="2" xr3:uid="{E040417F-E9C0-4E73-91F5-D2539CF3D47A}" name="CODIGO DE VENTA" dataDxfId="195"/>
    <tableColumn id="17" xr3:uid="{06A898BB-0BA8-4BBE-8E62-1EC3A3AAD08F}" name="INVENTARIO INICIAL" dataDxfId="194">
      <calculatedColumnFormula>Tabla13111927374553616977859310110911712513314114913315716517318118915716517319720521322122923724525326126927728529330130931732533335347355363371379111927[[#This Row],[STOCK]]</calculatedColumnFormula>
    </tableColumn>
    <tableColumn id="6" xr3:uid="{7BBEE505-F8D5-49F9-B3EC-F504D2C5D255}" name="STOCK" dataDxfId="193">
      <calculatedColumnFormula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calculatedColumnFormula>
    </tableColumn>
    <tableColumn id="3" xr3:uid="{5E1ED851-42BB-4F38-987F-EBE4B5D4D68F}" name="INGRESO LUNES" dataDxfId="192"/>
    <tableColumn id="4" xr3:uid="{B6A5B5DC-8E31-411A-B76E-24C169F6291E}" name="VENTA LUNES" dataDxfId="191" totalsRowDxfId="190"/>
    <tableColumn id="5" xr3:uid="{B72D780A-3078-479A-B3C4-F3D710643E57}" name="INGRESO MARTES" dataDxfId="189" totalsRowDxfId="188"/>
    <tableColumn id="7" xr3:uid="{66D89D25-D866-427F-B376-82180722F34C}" name="VENTA MARTES" dataDxfId="187"/>
    <tableColumn id="8" xr3:uid="{F5A5FD3B-3CDA-4317-9C94-0195BB08396F}" name="INGRESO MIERCOLES" dataDxfId="186"/>
    <tableColumn id="9" xr3:uid="{A507D4B0-A509-42F6-863F-B7E35E3D3823}" name="VENTA MIERCOLES" dataDxfId="185"/>
    <tableColumn id="10" xr3:uid="{752F8B35-3779-44BC-8E38-4B30DFF55412}" name="INGRESO JUEVES" dataDxfId="184"/>
    <tableColumn id="11" xr3:uid="{19EF2203-5149-4ADC-9F8B-68631744C67F}" name="VENTA JUEVES" dataDxfId="183"/>
    <tableColumn id="12" xr3:uid="{D03EEF4B-3F81-4E3B-B1A8-BFCF900392D2}" name="INGRESO VIERNES" dataDxfId="182"/>
    <tableColumn id="13" xr3:uid="{9A26A335-C1A4-4FBF-9933-803ED3449CE4}" name="VENTA VIERNES" dataDxfId="181"/>
    <tableColumn id="14" xr3:uid="{8FDD597C-C984-4B31-91C9-C6973E2B712A}" name=" INGRESO SABADO" dataDxfId="180"/>
    <tableColumn id="15" xr3:uid="{02262D14-5AD6-42D9-A0D0-ED203D821DDD}" name="VENTA SABADO" dataDxfId="179"/>
    <tableColumn id="16" xr3:uid="{A36B59EA-DFFE-484B-9271-4F94BD1CEEED}" name="VENTA SEMANAL" dataDxfId="178" totalsRowDxfId="177">
      <calculatedColumnFormula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calculatedColumnFormula>
    </tableColumn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C28AAE5-AB19-43FE-8F17-942B6E7109E7}" name="Tabla134122028384654627078869410211011812613414215013415816617418219015816617419820621422223023824625426227027828629430231031832633434034835636437238012202836" displayName="Tabla134122028384654627078869410211011812613414215013415816617418219015816617419820621422223023824625426227027828629430231031832633434034835636437238012202836" ref="B58:R96" totalsRowShown="0" headerRowDxfId="176" totalsRowDxfId="174" tableBorderDxfId="175">
  <autoFilter ref="B58:R96" xr:uid="{63FA84B0-D74F-4CBD-85BD-3759E1F4F2A1}"/>
  <tableColumns count="17">
    <tableColumn id="1" xr3:uid="{6A685FE2-C875-4F81-9D79-1AF4BC8F2A11}" name="SALON C" dataDxfId="173"/>
    <tableColumn id="2" xr3:uid="{3BC5C21B-BBC7-45CC-8ACF-41CF7FDD32F4}" name="CODIGO DE VENTA" dataDxfId="172"/>
    <tableColumn id="17" xr3:uid="{87454EE4-5E5B-4A8C-A2DE-21A754117D0A}" name="INVENTARIO INICIAL" dataDxfId="171">
      <calculatedColumnFormula>Tabla1341220283846546270788694102110118126134142150134158166174182190158166174198206214222230238246254262270278286294302310318326334340348356364372380122028[[#This Row],[STOCK]]</calculatedColumnFormula>
    </tableColumn>
    <tableColumn id="6" xr3:uid="{77B302BC-1705-43B7-A58D-D86D44EA6F97}" name="STOCK" dataDxfId="170">
      <calculatedColumnFormula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calculatedColumnFormula>
    </tableColumn>
    <tableColumn id="3" xr3:uid="{26BDDBBF-6993-45FE-B6BC-5F82647B8535}" name="INGRESO LUNES" dataDxfId="169"/>
    <tableColumn id="4" xr3:uid="{3CD4A854-8BB7-41BB-98AA-30A42D1BB347}" name="VENTA LUNES" dataDxfId="168"/>
    <tableColumn id="5" xr3:uid="{2EECE301-89BA-47ED-AD48-E2A56AC401F1}" name="INGRESO MARTES" dataDxfId="167"/>
    <tableColumn id="7" xr3:uid="{B870699D-C1D9-4DB8-B443-80B77B82C069}" name="VENTA MARTES" dataDxfId="166"/>
    <tableColumn id="8" xr3:uid="{76C6172C-A967-4D55-943B-893F0B4F8F20}" name="INGRESO MIERCOLES" dataDxfId="165"/>
    <tableColumn id="9" xr3:uid="{4876F8F9-734C-4150-BF0D-4E095E6F12B8}" name="VENTA MIERCOLES" dataDxfId="164"/>
    <tableColumn id="10" xr3:uid="{FDAD8502-8C75-4A17-9026-076411AB68B7}" name="INGRESO JUEVES" dataDxfId="163"/>
    <tableColumn id="11" xr3:uid="{641F5607-25FF-4D3C-BC19-E4AF615CB202}" name="VENTA JUEVES" dataDxfId="162"/>
    <tableColumn id="12" xr3:uid="{DFE6C937-F895-4628-840B-59A8B30F6EE5}" name="INGRESO VIERNES" dataDxfId="161"/>
    <tableColumn id="13" xr3:uid="{99671C3E-D82B-4F3B-B99D-F4B322BFC982}" name="VENTA VIERNES" dataDxfId="160"/>
    <tableColumn id="14" xr3:uid="{2FBA6B5C-5E0A-4205-B3FF-A37FB9C7DD3D}" name=" INGRESO SABADO" dataDxfId="159"/>
    <tableColumn id="15" xr3:uid="{B0BCDB36-4F88-4F3D-9A46-31A661E51D57}" name="VENTA SABADO" dataDxfId="158"/>
    <tableColumn id="16" xr3:uid="{6FE31EF8-F0A8-472E-9ED9-2DC546639722}" name="VENTA SEMANAL" dataDxfId="157">
      <calculatedColumnFormula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calculatedColumnFormula>
    </tableColumn>
  </tableColumns>
  <tableStyleInfo name="TableStyleLight1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213E5B4-B1AA-4DC9-95A8-0457B999DEE6}" name="Tabla1346132129394755637179879510311111912713514315113515916717518319115916717519920721522323123924725526327127928729530331131932733534134935736537338113212937" displayName="Tabla1346132129394755637179879510311111912713514315113515916717518319115916717519920721522323123924725526327127928729530331131932733534134935736537338113212937" ref="B98:R134" totalsRowShown="0" headerRowDxfId="156" dataDxfId="155" totalsRowDxfId="153" tableBorderDxfId="154">
  <autoFilter ref="B98:R134" xr:uid="{3645459F-BBF3-4783-8454-E0A96E467B27}"/>
  <tableColumns count="17">
    <tableColumn id="1" xr3:uid="{DFCE6B75-7E9E-4D30-A14B-2773852D7459}" name="SALON D" dataDxfId="152"/>
    <tableColumn id="2" xr3:uid="{796979FA-15E9-4BC2-9DBB-87ECE8D2C222}" name="CODIGO DE VENTA" dataDxfId="151"/>
    <tableColumn id="17" xr3:uid="{8A66515B-0363-445F-827B-6C967F3ADD3F}" name="INVENTARIO INICIAL" dataDxfId="150">
      <calculatedColumnFormula>Tabla13461321293947556371798795103111119127135143151135159167175183191159167175199207215223231239247255263271279287295303311319327335341349357365373381132129[[#This Row],[STOCK]]</calculatedColumnFormula>
    </tableColumn>
    <tableColumn id="6" xr3:uid="{CABDFFF0-FE63-461B-A2AA-221C3FA388DC}" name="STOCK" dataDxfId="149">
      <calculatedColumnFormula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calculatedColumnFormula>
    </tableColumn>
    <tableColumn id="3" xr3:uid="{B0649BC8-415B-42EB-9158-D9392126E428}" name="INGRESO LUNES" dataDxfId="148"/>
    <tableColumn id="4" xr3:uid="{BB904861-D638-4A3A-826E-E0AA7B2470C4}" name="VENTA LUNES" dataDxfId="147" totalsRowDxfId="146"/>
    <tableColumn id="5" xr3:uid="{62C918DE-A9B4-4D4B-9D9B-849E920B54D1}" name="INGRESO MARTES" dataDxfId="145" totalsRowDxfId="144"/>
    <tableColumn id="7" xr3:uid="{E19F91B5-F460-41CB-9A67-01070181C603}" name="VENTA MARTES" dataDxfId="143" totalsRowDxfId="142"/>
    <tableColumn id="8" xr3:uid="{B8C11794-7749-4929-9044-6ED277F0ECB9}" name="INGRESO MIERCOLES" dataDxfId="141" totalsRowDxfId="140"/>
    <tableColumn id="9" xr3:uid="{B5B2D139-080F-4D4A-91C6-A39749806ED7}" name="VENTA MIERCOLES" dataDxfId="139" totalsRowDxfId="138"/>
    <tableColumn id="10" xr3:uid="{F7B1EBB7-D830-42BC-BF27-D637E61A543C}" name="INGRESO JUEVES" dataDxfId="137" totalsRowDxfId="136"/>
    <tableColumn id="11" xr3:uid="{C4D2E9A0-76A9-44D0-B7E4-B24DA7CCB2C9}" name="VENTA JUEVES" dataDxfId="135" totalsRowDxfId="134"/>
    <tableColumn id="12" xr3:uid="{1C4F7AF8-774A-424F-A76E-8A3D34A0021F}" name="INGRESO VIERNES" dataDxfId="133" totalsRowDxfId="132"/>
    <tableColumn id="13" xr3:uid="{07E1A574-79A5-4527-B48D-6CA5D50C72D2}" name="VENTA VIERNES" dataDxfId="131" totalsRowDxfId="130"/>
    <tableColumn id="14" xr3:uid="{6CE5F2D3-D968-4280-9756-609BC3D062E1}" name=" INGRESO SABADO" dataDxfId="129" totalsRowDxfId="128"/>
    <tableColumn id="15" xr3:uid="{89473859-66AE-4CA4-B099-A5C89593169E}" name="VENTA SABADO" dataDxfId="127" totalsRowDxfId="126"/>
    <tableColumn id="16" xr3:uid="{AA0B0B4F-ADD2-4C85-BA7A-F3F26F15285C}" name="VENTA SEMANAL" dataDxfId="125" totalsRowDxfId="124">
      <calculatedColumnFormula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calculatedColumnFormula>
    </tableColumn>
  </tableColumns>
  <tableStyleInfo name="TableStyleLight1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51768A7-DE8F-4709-8E19-91B2235CCE6C}" name="Tabla13467142230404856647280889610411212012813614415213616016817618419216016817620020821622423224024825626427228028829630431232032833634235035836637438214223038" displayName="Tabla13467142230404856647280889610411212012813614415213616016817618419216016817620020821622423224024825626427228028829630431232032833634235035836637438214223038" ref="B136:R151" totalsRowShown="0" headerRowDxfId="123" dataDxfId="122" totalsRowDxfId="120" tableBorderDxfId="121">
  <autoFilter ref="B136:R151" xr:uid="{D869367D-8E32-4085-AC49-828DDEF66650}"/>
  <tableColumns count="17">
    <tableColumn id="1" xr3:uid="{266BEFE5-9E85-464D-A125-15C6C6D46A42}" name="SALON E" dataDxfId="119"/>
    <tableColumn id="2" xr3:uid="{B4E72C4F-E6FF-4F8C-B9FF-CB2FE692E38B}" name="CODIGO DE VENTA" dataDxfId="118"/>
    <tableColumn id="17" xr3:uid="{13A15B9C-3314-41C6-BB93-5A5AF46C436A}" name="INVENTARIO INICIAL" dataDxfId="117">
      <calculatedColumnFormula>Tabla134671422304048566472808896104112120128136144152136160168176184192160168176200208216224232240248256264272280288296304312320328336342350358366374382142230[[#This Row],[STOCK]]</calculatedColumnFormula>
    </tableColumn>
    <tableColumn id="6" xr3:uid="{7F2B3480-840A-449E-BC52-0579C3E9F66D}" name="STOCK" dataDxfId="116">
      <calculatedColumnFormula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calculatedColumnFormula>
    </tableColumn>
    <tableColumn id="3" xr3:uid="{FBAFC88B-73D0-4F2D-99B2-27D60D234A3A}" name="INGRESO LUNES" dataDxfId="115"/>
    <tableColumn id="4" xr3:uid="{DD497849-9B3B-40F9-A71F-C7CAA2C9C2F7}" name="VENTA LUNES" dataDxfId="114"/>
    <tableColumn id="5" xr3:uid="{3BD560D9-9CDD-4BE1-AE6B-37C53EC3F1EF}" name="INGRESO MARTES" dataDxfId="113"/>
    <tableColumn id="7" xr3:uid="{81942B8F-B0AC-48B7-B853-A0E65BFC0B18}" name="VENTA MARTES" dataDxfId="112"/>
    <tableColumn id="8" xr3:uid="{60D75AFB-CBA9-4FBF-844E-832CC8A6772C}" name="INGRESO MIERCOLES" dataDxfId="111"/>
    <tableColumn id="9" xr3:uid="{552C01E7-5324-42D1-9FD4-6F5D6BADDF35}" name="VENTA MIERCOLES" dataDxfId="110"/>
    <tableColumn id="10" xr3:uid="{173BD83C-7602-4E54-9CAB-0A85B6676988}" name="INGRESO JUEVES" dataDxfId="109"/>
    <tableColumn id="11" xr3:uid="{731BE71A-901A-4CA7-AE09-CA59BA2BEA14}" name="VENTA JUEVES" dataDxfId="108"/>
    <tableColumn id="12" xr3:uid="{ADFDA504-DCCB-40C5-AC60-A991D5C418BB}" name="INGRESO VIERNES" dataDxfId="107"/>
    <tableColumn id="13" xr3:uid="{246AF5E5-8129-4F6C-86D0-018F0FECEDEF}" name="VENTA VIERNES" dataDxfId="106"/>
    <tableColumn id="14" xr3:uid="{8678534C-F441-42EF-ABA8-55A015C804DE}" name=" INGRESO SABADO" dataDxfId="105"/>
    <tableColumn id="15" xr3:uid="{6041951E-BCB7-40EE-9E12-D81B25FF3787}" name="VENTA SABADO" dataDxfId="104"/>
    <tableColumn id="16" xr3:uid="{C40AA329-D8A6-4FF4-B477-58C84D9CCBAB}" name="VENTA SEMANAL" dataDxfId="103">
      <calculatedColumnFormula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calculatedColumnFormula>
    </tableColumn>
  </tableColumns>
  <tableStyleInfo name="TableStyleLight1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A244A5E-61E7-4062-B246-CEDBA12FDF08}" name="Tabla13468152331414957657381899710511312112913714515313716116917718519316116917720120921722523324124925726527328128929730531332132933734335135936737538315233139" displayName="Tabla13468152331414957657381899710511312112913714515313716116917718519316116917720120921722523324124925726527328128929730531332132933734335135936737538315233139" ref="B153:R193" totalsRowShown="0" headerRowDxfId="102" dataDxfId="101" totalsRowDxfId="99" tableBorderDxfId="100">
  <autoFilter ref="B153:R193" xr:uid="{0D12A3DE-A04A-46C3-84D3-310CEE70C113}"/>
  <tableColumns count="17">
    <tableColumn id="1" xr3:uid="{73E6B413-0D11-4848-A6F3-186B34741805}" name="SALON F" dataDxfId="98"/>
    <tableColumn id="2" xr3:uid="{688CB57A-5E6A-4238-B63B-F977C2427461}" name="CODIGO DE VENTA" dataDxfId="97"/>
    <tableColumn id="18" xr3:uid="{7B8627DE-65A2-4CC6-83A7-08600A83C8BF}" name="INVENTARIO INICIAL" dataDxfId="96">
      <calculatedColumnFormula>Tabla134681523314149576573818997105113121129137145153137161169177185193161169177201209217225233241249257265273281289297305313321329337343351359367375383152331[[#This Row],[STOCK]]</calculatedColumnFormula>
    </tableColumn>
    <tableColumn id="19" xr3:uid="{5853B323-8C67-4884-8BFC-3A9EEEE907C9}" name="STOCK" dataDxfId="95" totalsRowDxfId="94">
      <calculatedColumnFormula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calculatedColumnFormula>
    </tableColumn>
    <tableColumn id="20" xr3:uid="{2F8BCECB-953B-4031-BE64-B7A25A4147C7}" name="INGRESO LUNES" dataDxfId="93" totalsRowDxfId="92"/>
    <tableColumn id="21" xr3:uid="{A259874A-43BA-42E2-950A-38DE0A50D05E}" name="VENTA LUNES" dataDxfId="91" totalsRowDxfId="90"/>
    <tableColumn id="22" xr3:uid="{647DD2DD-6637-40D4-8BC8-327C0373A68C}" name="INGRESO MARTES" dataDxfId="89" totalsRowDxfId="88"/>
    <tableColumn id="23" xr3:uid="{96E9E1E7-3674-4AD1-AA42-21FA0C1A0C83}" name="VENTA MARTES" dataDxfId="87" totalsRowDxfId="86"/>
    <tableColumn id="24" xr3:uid="{169226AD-D996-4116-B3F6-4AF4C1A5E0FA}" name="INGRESO MIERCOLES" dataDxfId="85" totalsRowDxfId="84"/>
    <tableColumn id="25" xr3:uid="{D334BC98-3F48-4BE1-BC22-CC8E038D3297}" name="VENTA MIERCOLES" dataDxfId="83" totalsRowDxfId="82"/>
    <tableColumn id="26" xr3:uid="{385D1CD6-FC5E-403D-A4D6-99C49AC871A1}" name="INGRESO JUEVES" dataDxfId="81" totalsRowDxfId="80"/>
    <tableColumn id="27" xr3:uid="{FDB58D50-62AD-4194-91E5-D63630C766EA}" name="VENTA JUEVES" dataDxfId="79" totalsRowDxfId="78"/>
    <tableColumn id="28" xr3:uid="{D472FED3-9485-4E4C-A5E4-F6A552BD895B}" name="INGRESO VIERNES" dataDxfId="77" totalsRowDxfId="76"/>
    <tableColumn id="29" xr3:uid="{B0DB3A4F-FD87-4187-8CE9-E2B6022E705F}" name="VENTA VIERNES" dataDxfId="75" totalsRowDxfId="74"/>
    <tableColumn id="30" xr3:uid="{46E07AE8-1070-4A48-8CBB-F9B1FBE31286}" name=" INGRESO SABADO" dataDxfId="73" totalsRowDxfId="72"/>
    <tableColumn id="31" xr3:uid="{C7E116B7-29E1-46E1-9F6F-BB6D2568D856}" name="VENTA SABADO" dataDxfId="71" totalsRowDxfId="70"/>
    <tableColumn id="32" xr3:uid="{34C0DC88-91E4-4AF0-8B19-0634A452B3F0}" name="VENTA SEMANAL" dataDxfId="69" totalsRowDxfId="68">
      <calculatedColumnFormula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calculatedColumnFormula>
    </tableColumn>
  </tableColumns>
  <tableStyleInfo name="TableStyleLight1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7D9A332-E225-4CD3-BF5C-AEF738DDFF67}" name="Tabla134689162432425058667482909810611412213013814615413816217017818619416217017820221021822623424225025826627428229029830631432233033834435236036837638416243240" displayName="Tabla134689162432425058667482909810611412213013814615413816217017818619416217017820221021822623424225025826627428229029830631432233033834435236036837638416243240" ref="B195:R241" totalsRowShown="0" headerRowDxfId="67" dataDxfId="66" totalsRowDxfId="64" tableBorderDxfId="65">
  <autoFilter ref="B195:R241" xr:uid="{FB91264E-6878-4532-AA11-1B27A6D4908D}"/>
  <tableColumns count="17">
    <tableColumn id="1" xr3:uid="{A1AB669F-7B22-4C72-8907-226974D1FA85}" name="SALON G" dataDxfId="63"/>
    <tableColumn id="2" xr3:uid="{5455EB58-8431-4D52-82F1-5996A1FF99E4}" name="CODIGO DE VENTA" dataDxfId="62"/>
    <tableColumn id="18" xr3:uid="{C92AD6EB-3C1E-42A0-84B2-3BF99847EF4C}" name="INVENTARIO INICIAL" dataDxfId="61">
      <calculatedColumnFormula>Tabla1346891624324250586674829098106114122130138146154138162170178186194162170178202210218226234242250258266274282290298306314322330338344352360368376384162432[[#This Row],[STOCK]]</calculatedColumnFormula>
    </tableColumn>
    <tableColumn id="19" xr3:uid="{D31809CB-F7DC-4A79-B98F-C973A47D1C74}" name="STOCK" dataDxfId="60" totalsRowDxfId="59">
      <calculatedColumnFormula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calculatedColumnFormula>
    </tableColumn>
    <tableColumn id="20" xr3:uid="{4435678D-3B4F-4471-8BAF-170EE4B9755D}" name="INGRESO LUNES" dataDxfId="58" totalsRowDxfId="57"/>
    <tableColumn id="21" xr3:uid="{F08FA9EA-301F-4595-94D5-7B34F3C41B5B}" name="VENTA LUNES" dataDxfId="56" totalsRowDxfId="55"/>
    <tableColumn id="22" xr3:uid="{2EC40603-E3CF-4587-A489-F02803CACE3D}" name="INGRESO MARTES" dataDxfId="54" totalsRowDxfId="53"/>
    <tableColumn id="23" xr3:uid="{3423BC62-497F-42F0-A7F6-6A7560D334AA}" name="VENTA MARTES" dataDxfId="52" totalsRowDxfId="51"/>
    <tableColumn id="24" xr3:uid="{0287D256-DEBD-4FB5-BD14-8D72BF1E313F}" name="INGRESO MIERCOLES" dataDxfId="50" totalsRowDxfId="49"/>
    <tableColumn id="25" xr3:uid="{650DDF78-D064-45B9-8FD4-4B6CDCBE5938}" name="VENTA MIERCOLES" dataDxfId="48" totalsRowDxfId="47"/>
    <tableColumn id="26" xr3:uid="{21EE5550-28AA-44F9-981C-24520C0F7093}" name="INGRESO JUEVES" dataDxfId="46" totalsRowDxfId="45"/>
    <tableColumn id="27" xr3:uid="{BC8594E8-043C-4260-97B5-7CBC472762B7}" name="VENTA JUEVES" dataDxfId="44" totalsRowDxfId="43"/>
    <tableColumn id="28" xr3:uid="{C438A840-09F7-405E-8595-932338E37169}" name="INGRESO VIERNES" dataDxfId="42" totalsRowDxfId="41"/>
    <tableColumn id="29" xr3:uid="{F2D75853-E96E-4E21-B794-9F291D29CA93}" name="SALIDA VIERNES" dataDxfId="40" totalsRowDxfId="39"/>
    <tableColumn id="30" xr3:uid="{8FEFFE29-611E-4AEF-B44E-7F92F083AACD}" name="INGRESO SABADO" dataDxfId="38" totalsRowDxfId="37"/>
    <tableColumn id="31" xr3:uid="{8B4ADEFA-D0B9-4FDB-AFA2-512125D6CA39}" name="SALIDA SABADO" dataDxfId="36" totalsRowDxfId="35"/>
    <tableColumn id="32" xr3:uid="{C0E8CBEC-666D-4569-A300-E1B8941534DC}" name="VENTA SEMANAL" dataDxfId="34" totalsRowDxfId="33">
      <calculatedColumnFormula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calculatedColumnFormula>
    </tableColumn>
  </tableColumns>
  <tableStyleInfo name="TableStyleLight1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126F6E6-557D-4B6D-83E8-50E53AC25541}" name="Tabla13468910172533435159677583919910711512313113914715513916317117918719516317117920321121922723524325125926727528329129930731532333133934535336136937738517253341" displayName="Tabla13468910172533435159677583919910711512313113914715513916317117918719516317117920321121922723524325125926727528329129930731532333133934535336136937738517253341" ref="B243:R264" totalsRowShown="0" headerRowDxfId="32" dataDxfId="31" totalsRowDxfId="29" tableBorderDxfId="30">
  <autoFilter ref="B243:R264" xr:uid="{B2CF9012-6841-4AFF-BBE6-666A0408F258}"/>
  <tableColumns count="17">
    <tableColumn id="1" xr3:uid="{7A43BEE7-70E3-47F0-9BBB-6A77F38F3042}" name="SALON H" dataDxfId="28"/>
    <tableColumn id="2" xr3:uid="{A0B7242B-5380-42F5-8AA2-172F7997B8C1}" name="CODIGO DE VENTA" dataDxfId="27"/>
    <tableColumn id="17" xr3:uid="{C83B7D69-210F-40C7-9D50-E0DF209AB0E7}" name="INVENTARIO INICIAL" dataDxfId="26">
      <calculatedColumnFormula>Tabla134689101725334351596775839199107115123131139147155139163171179187195163171179203211219227235243251259267275283291299307315323331339345353361369377385172533[[#This Row],[STOCK]]</calculatedColumnFormula>
    </tableColumn>
    <tableColumn id="6" xr3:uid="{F29E2B9A-E038-4E9B-9EBE-E6D378B43B89}" name="STOCK" dataDxfId="25">
      <calculatedColumnFormula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calculatedColumnFormula>
    </tableColumn>
    <tableColumn id="3" xr3:uid="{59754AAE-5EC1-46DA-9115-8B533086A831}" name="INGRESO LUNES" dataDxfId="24"/>
    <tableColumn id="4" xr3:uid="{53D92616-2A5C-4044-B917-DC98CEAD7D0D}" name="VENTA LUNES" dataDxfId="23" totalsRowDxfId="22"/>
    <tableColumn id="5" xr3:uid="{9B562B4E-6C93-4C94-B386-774B13D18B4A}" name="INGRESO MARTES" dataDxfId="21" totalsRowDxfId="20"/>
    <tableColumn id="7" xr3:uid="{C5CBF465-55A4-4B95-91AB-D30CC042BBFE}" name="VENTA MARTES" dataDxfId="19" totalsRowDxfId="18"/>
    <tableColumn id="8" xr3:uid="{544C7C4B-A3E4-4018-9D4E-43EE3E5EBD48}" name="INGRESO MIERCOLES" dataDxfId="17" totalsRowDxfId="16"/>
    <tableColumn id="9" xr3:uid="{4A5A36DD-B052-4C7B-94EB-442039C87892}" name="VENTA MIERCOLES" dataDxfId="15" totalsRowDxfId="14"/>
    <tableColumn id="10" xr3:uid="{88B7D7C9-AC95-41FA-9193-66F8C5B842B3}" name="INGRESO JUEVES" dataDxfId="13" totalsRowDxfId="12"/>
    <tableColumn id="11" xr3:uid="{C92F6295-C22E-4664-8B8A-0E88209BEF85}" name="VENTA JUEVES" dataDxfId="11" totalsRowDxfId="10"/>
    <tableColumn id="12" xr3:uid="{6AC03006-BD21-4B60-A77C-C61E28C06046}" name="INGRESO VIERNES" dataDxfId="9" totalsRowDxfId="8"/>
    <tableColumn id="13" xr3:uid="{C1515992-4BD7-44F7-A7EA-C77CF716EE33}" name="VENTA VIERNES" dataDxfId="7" totalsRowDxfId="6"/>
    <tableColumn id="14" xr3:uid="{23DF0BB6-1312-4672-84CE-F0F7DA058317}" name=" INGRESO SABADO" dataDxfId="5" totalsRowDxfId="4"/>
    <tableColumn id="15" xr3:uid="{97FD27DC-3AA4-4E18-9BC6-1FDEC32A232E}" name="VENTA SABADO" dataDxfId="3" totalsRowDxfId="2"/>
    <tableColumn id="16" xr3:uid="{C56AD358-3876-48F6-8383-9B70497F94E0}" name="VENTA SEMANAL" dataDxfId="1" totalsRowDxfId="0">
      <calculatedColumnFormula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10" Type="http://schemas.openxmlformats.org/officeDocument/2006/relationships/table" Target="../tables/table32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8.xml"/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10" Type="http://schemas.openxmlformats.org/officeDocument/2006/relationships/table" Target="../tables/table40.xml"/><Relationship Id="rId4" Type="http://schemas.openxmlformats.org/officeDocument/2006/relationships/table" Target="../tables/table34.xml"/><Relationship Id="rId9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E984-01FE-4C68-911E-6271546AB8F8}">
  <sheetPr>
    <pageSetUpPr autoPageBreaks="0"/>
  </sheetPr>
  <dimension ref="A1:V264"/>
  <sheetViews>
    <sheetView showGridLines="0" topLeftCell="A3" zoomScale="70" zoomScaleNormal="70" workbookViewId="0">
      <pane xSplit="5" ySplit="6" topLeftCell="F70" activePane="bottomRight" state="frozen"/>
      <selection activeCell="A3" sqref="A3"/>
      <selection pane="topRight" activeCell="F3" sqref="F3"/>
      <selection pane="bottomLeft" activeCell="A8" sqref="A8"/>
      <selection pane="bottomRight" activeCell="Q98" sqref="Q98"/>
    </sheetView>
  </sheetViews>
  <sheetFormatPr baseColWidth="10" defaultColWidth="9.140625" defaultRowHeight="12.75" x14ac:dyDescent="0.2"/>
  <cols>
    <col min="1" max="1" width="1.7109375" customWidth="1"/>
    <col min="2" max="2" width="50.140625" customWidth="1"/>
    <col min="3" max="3" width="8" customWidth="1"/>
    <col min="4" max="4" width="11.140625" style="56" customWidth="1"/>
    <col min="5" max="5" width="16.28515625" style="57" customWidth="1"/>
    <col min="6" max="6" width="11.140625" style="3" customWidth="1"/>
    <col min="7" max="7" width="11" style="3" customWidth="1"/>
    <col min="8" max="8" width="11.85546875" style="3" customWidth="1"/>
    <col min="9" max="9" width="11.5703125" style="3" customWidth="1"/>
    <col min="10" max="10" width="14.42578125" style="3" customWidth="1"/>
    <col min="11" max="11" width="13.85546875" style="3" customWidth="1"/>
    <col min="12" max="12" width="11.7109375" style="3" customWidth="1"/>
    <col min="13" max="13" width="11.28515625" style="3" customWidth="1"/>
    <col min="14" max="15" width="12" style="3" customWidth="1"/>
    <col min="16" max="16" width="11.85546875" style="3" customWidth="1"/>
    <col min="17" max="17" width="12.42578125" style="3" customWidth="1"/>
    <col min="18" max="18" width="12.7109375" style="3" customWidth="1"/>
  </cols>
  <sheetData>
    <row r="1" spans="1:18" ht="8.1" customHeight="1" x14ac:dyDescent="0.2">
      <c r="A1" s="1"/>
      <c r="B1" s="66" t="s">
        <v>0</v>
      </c>
      <c r="C1" s="66"/>
      <c r="D1" s="66"/>
      <c r="E1" s="66"/>
      <c r="F1" s="66"/>
      <c r="G1" s="66"/>
      <c r="H1" s="2"/>
      <c r="I1" s="2"/>
      <c r="J1" s="2"/>
    </row>
    <row r="2" spans="1:18" ht="51.95" customHeight="1" x14ac:dyDescent="0.2">
      <c r="A2" s="1"/>
      <c r="B2" s="66"/>
      <c r="C2" s="66"/>
      <c r="D2" s="66"/>
      <c r="E2" s="66"/>
      <c r="F2" s="66"/>
      <c r="G2" s="66"/>
      <c r="H2" s="2"/>
      <c r="I2" s="2"/>
      <c r="J2" s="2"/>
    </row>
    <row r="3" spans="1:18" ht="8.1" customHeight="1" x14ac:dyDescent="0.2">
      <c r="A3" s="4"/>
      <c r="B3" s="5"/>
      <c r="C3" s="5"/>
      <c r="D3" s="6"/>
      <c r="E3" s="7"/>
      <c r="F3" s="2"/>
      <c r="G3" s="2"/>
      <c r="H3" s="2"/>
      <c r="I3" s="2"/>
      <c r="J3" s="2"/>
    </row>
    <row r="4" spans="1:18" ht="22.5" customHeight="1" x14ac:dyDescent="0.2">
      <c r="A4" s="4"/>
      <c r="B4" s="67" t="s">
        <v>1</v>
      </c>
      <c r="C4" s="69" t="s">
        <v>2</v>
      </c>
      <c r="D4" s="70"/>
      <c r="E4" s="8"/>
      <c r="F4" s="9"/>
    </row>
    <row r="5" spans="1:18" ht="17.25" customHeight="1" x14ac:dyDescent="0.2">
      <c r="A5" s="4"/>
      <c r="B5" s="68"/>
      <c r="C5" s="71" t="s">
        <v>3</v>
      </c>
      <c r="D5" s="72"/>
      <c r="E5" s="10"/>
      <c r="F5" s="9"/>
    </row>
    <row r="6" spans="1:18" ht="8.25" customHeight="1" x14ac:dyDescent="0.2">
      <c r="A6" s="4"/>
      <c r="B6" s="11"/>
      <c r="C6" s="9"/>
      <c r="D6" s="9"/>
      <c r="E6" s="12"/>
      <c r="F6" s="9"/>
    </row>
    <row r="7" spans="1:18" ht="18.75" customHeight="1" x14ac:dyDescent="0.2">
      <c r="A7" s="4"/>
      <c r="D7" s="13"/>
      <c r="E7" s="13"/>
      <c r="F7" s="9"/>
      <c r="G7" s="14"/>
      <c r="H7" s="14"/>
      <c r="I7" s="14"/>
      <c r="J7" s="15"/>
    </row>
    <row r="8" spans="1:18" ht="15.95" customHeight="1" x14ac:dyDescent="0.2">
      <c r="A8" s="4"/>
      <c r="C8" s="13"/>
      <c r="D8" s="13"/>
      <c r="E8" s="13"/>
      <c r="F8" s="9"/>
      <c r="G8" s="14"/>
      <c r="H8" s="14"/>
      <c r="I8" s="14"/>
      <c r="J8" s="15"/>
    </row>
    <row r="9" spans="1:18" ht="38.25" customHeight="1" x14ac:dyDescent="0.2">
      <c r="A9" s="4"/>
      <c r="B9" s="16" t="s">
        <v>4</v>
      </c>
      <c r="C9" s="17" t="s">
        <v>5</v>
      </c>
      <c r="D9" s="18" t="s">
        <v>6</v>
      </c>
      <c r="E9" s="19" t="s">
        <v>7</v>
      </c>
      <c r="F9" s="20" t="s">
        <v>8</v>
      </c>
      <c r="G9" s="20" t="s">
        <v>9</v>
      </c>
      <c r="H9" s="20" t="s">
        <v>10</v>
      </c>
      <c r="I9" s="20" t="s">
        <v>11</v>
      </c>
      <c r="J9" s="20" t="s">
        <v>12</v>
      </c>
      <c r="K9" s="20" t="s">
        <v>13</v>
      </c>
      <c r="L9" s="20" t="s">
        <v>14</v>
      </c>
      <c r="M9" s="20" t="s">
        <v>15</v>
      </c>
      <c r="N9" s="20" t="s">
        <v>16</v>
      </c>
      <c r="O9" s="20" t="s">
        <v>17</v>
      </c>
      <c r="P9" s="20" t="s">
        <v>18</v>
      </c>
      <c r="Q9" s="20" t="s">
        <v>19</v>
      </c>
      <c r="R9" s="21" t="s">
        <v>20</v>
      </c>
    </row>
    <row r="10" spans="1:18" ht="15.75" customHeight="1" x14ac:dyDescent="0.2">
      <c r="A10" s="4"/>
      <c r="B10" s="22" t="s">
        <v>21</v>
      </c>
      <c r="C10" s="23" t="s">
        <v>22</v>
      </c>
      <c r="D10" s="24">
        <v>537</v>
      </c>
      <c r="E10" s="25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502</v>
      </c>
      <c r="F10" s="26"/>
      <c r="G10" s="23">
        <v>16</v>
      </c>
      <c r="H10" s="27"/>
      <c r="I10" s="23"/>
      <c r="J10" s="23"/>
      <c r="K10" s="23"/>
      <c r="L10" s="23"/>
      <c r="M10" s="23"/>
      <c r="N10" s="23"/>
      <c r="O10" s="23">
        <v>1</v>
      </c>
      <c r="P10" s="23"/>
      <c r="Q10" s="23">
        <v>18</v>
      </c>
      <c r="R10" s="28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35</v>
      </c>
    </row>
    <row r="11" spans="1:18" ht="15.75" customHeight="1" x14ac:dyDescent="0.2">
      <c r="A11" s="4"/>
      <c r="B11" s="29" t="s">
        <v>23</v>
      </c>
      <c r="C11" s="30" t="s">
        <v>24</v>
      </c>
      <c r="D11" s="31">
        <v>397</v>
      </c>
      <c r="E11" s="32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367</v>
      </c>
      <c r="F11" s="33"/>
      <c r="G11" s="30">
        <v>5</v>
      </c>
      <c r="H11" s="34"/>
      <c r="I11" s="30"/>
      <c r="J11" s="30"/>
      <c r="K11" s="30"/>
      <c r="L11" s="30"/>
      <c r="M11" s="30"/>
      <c r="N11" s="30"/>
      <c r="O11" s="30">
        <v>6</v>
      </c>
      <c r="P11" s="30"/>
      <c r="Q11" s="30">
        <v>19</v>
      </c>
      <c r="R11" s="35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30</v>
      </c>
    </row>
    <row r="12" spans="1:18" ht="15.75" customHeight="1" x14ac:dyDescent="0.2">
      <c r="A12" s="4"/>
      <c r="B12" s="22" t="s">
        <v>25</v>
      </c>
      <c r="C12" s="23" t="s">
        <v>26</v>
      </c>
      <c r="D12" s="24">
        <v>269</v>
      </c>
      <c r="E12" s="25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222</v>
      </c>
      <c r="F12" s="26"/>
      <c r="G12" s="23">
        <v>18</v>
      </c>
      <c r="H12" s="27"/>
      <c r="I12" s="23"/>
      <c r="J12" s="23"/>
      <c r="K12" s="23"/>
      <c r="L12" s="23"/>
      <c r="M12" s="23"/>
      <c r="N12" s="23"/>
      <c r="O12" s="23">
        <v>5</v>
      </c>
      <c r="P12" s="23"/>
      <c r="Q12" s="23">
        <v>24</v>
      </c>
      <c r="R12" s="28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47</v>
      </c>
    </row>
    <row r="13" spans="1:18" ht="16.5" customHeight="1" x14ac:dyDescent="0.2">
      <c r="A13" s="4"/>
      <c r="B13" s="29" t="s">
        <v>27</v>
      </c>
      <c r="C13" s="30" t="s">
        <v>28</v>
      </c>
      <c r="D13" s="31">
        <v>88</v>
      </c>
      <c r="E13" s="32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0</v>
      </c>
      <c r="F13" s="33"/>
      <c r="G13" s="30">
        <v>41</v>
      </c>
      <c r="H13" s="34"/>
      <c r="I13" s="30"/>
      <c r="J13" s="30"/>
      <c r="K13" s="30"/>
      <c r="L13" s="30"/>
      <c r="M13" s="30"/>
      <c r="N13" s="30"/>
      <c r="O13" s="30">
        <v>19</v>
      </c>
      <c r="P13" s="30"/>
      <c r="Q13" s="30">
        <v>28</v>
      </c>
      <c r="R13" s="35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88</v>
      </c>
    </row>
    <row r="14" spans="1:18" ht="15.75" customHeight="1" x14ac:dyDescent="0.2">
      <c r="A14" s="4"/>
      <c r="B14" s="22" t="s">
        <v>29</v>
      </c>
      <c r="C14" s="23" t="s">
        <v>30</v>
      </c>
      <c r="D14" s="24">
        <v>130</v>
      </c>
      <c r="E14" s="25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148</v>
      </c>
      <c r="F14" s="26"/>
      <c r="G14" s="23">
        <v>24</v>
      </c>
      <c r="H14" s="27"/>
      <c r="I14" s="23"/>
      <c r="J14" s="23"/>
      <c r="K14" s="23"/>
      <c r="L14" s="23"/>
      <c r="M14" s="23"/>
      <c r="N14" s="23">
        <v>76</v>
      </c>
      <c r="O14" s="23">
        <v>12</v>
      </c>
      <c r="P14" s="23"/>
      <c r="Q14" s="23">
        <v>22</v>
      </c>
      <c r="R14" s="28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58</v>
      </c>
    </row>
    <row r="15" spans="1:18" ht="15.75" customHeight="1" x14ac:dyDescent="0.2">
      <c r="A15" s="4"/>
      <c r="B15" s="29" t="s">
        <v>31</v>
      </c>
      <c r="C15" s="30" t="s">
        <v>32</v>
      </c>
      <c r="D15" s="31">
        <v>205</v>
      </c>
      <c r="E15" s="32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200</v>
      </c>
      <c r="F15" s="33"/>
      <c r="G15" s="30">
        <v>1</v>
      </c>
      <c r="H15" s="34"/>
      <c r="I15" s="30"/>
      <c r="J15" s="30"/>
      <c r="K15" s="30"/>
      <c r="L15" s="30"/>
      <c r="M15" s="30"/>
      <c r="N15" s="30"/>
      <c r="O15" s="30">
        <v>1</v>
      </c>
      <c r="P15" s="30"/>
      <c r="Q15" s="30">
        <v>3</v>
      </c>
      <c r="R15" s="35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5</v>
      </c>
    </row>
    <row r="16" spans="1:18" ht="16.5" customHeight="1" x14ac:dyDescent="0.2">
      <c r="A16" s="4"/>
      <c r="B16" s="22" t="s">
        <v>33</v>
      </c>
      <c r="C16" s="23" t="s">
        <v>34</v>
      </c>
      <c r="D16" s="24">
        <v>114</v>
      </c>
      <c r="E16" s="25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77</v>
      </c>
      <c r="F16" s="26"/>
      <c r="G16" s="23">
        <v>18</v>
      </c>
      <c r="H16" s="27"/>
      <c r="I16" s="23"/>
      <c r="J16" s="23"/>
      <c r="K16" s="23"/>
      <c r="L16" s="23"/>
      <c r="M16" s="23"/>
      <c r="N16" s="23"/>
      <c r="O16" s="23">
        <v>1</v>
      </c>
      <c r="P16" s="23"/>
      <c r="Q16" s="23">
        <v>18</v>
      </c>
      <c r="R16" s="28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37</v>
      </c>
    </row>
    <row r="17" spans="1:22" ht="15.75" customHeight="1" x14ac:dyDescent="0.2">
      <c r="A17" s="4"/>
      <c r="B17" s="22" t="s">
        <v>35</v>
      </c>
      <c r="C17" s="23" t="s">
        <v>36</v>
      </c>
      <c r="D17" s="24">
        <v>376</v>
      </c>
      <c r="E17" s="25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347</v>
      </c>
      <c r="F17" s="26"/>
      <c r="G17" s="23">
        <v>18</v>
      </c>
      <c r="H17" s="27"/>
      <c r="I17" s="23"/>
      <c r="J17" s="23"/>
      <c r="K17" s="23"/>
      <c r="L17" s="23"/>
      <c r="M17" s="23"/>
      <c r="N17" s="23"/>
      <c r="O17" s="23">
        <v>8</v>
      </c>
      <c r="P17" s="23"/>
      <c r="Q17" s="23">
        <v>3</v>
      </c>
      <c r="R17" s="28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29</v>
      </c>
    </row>
    <row r="18" spans="1:22" ht="15.75" customHeight="1" x14ac:dyDescent="0.2">
      <c r="A18" s="36"/>
      <c r="B18" s="29" t="s">
        <v>37</v>
      </c>
      <c r="C18" s="30" t="s">
        <v>38</v>
      </c>
      <c r="D18" s="31">
        <v>131</v>
      </c>
      <c r="E18" s="32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91</v>
      </c>
      <c r="F18" s="33"/>
      <c r="G18" s="30">
        <v>11</v>
      </c>
      <c r="H18" s="34"/>
      <c r="I18" s="30"/>
      <c r="J18" s="30"/>
      <c r="K18" s="30"/>
      <c r="L18" s="30"/>
      <c r="M18" s="30"/>
      <c r="N18" s="30"/>
      <c r="O18" s="30">
        <v>6</v>
      </c>
      <c r="P18" s="30"/>
      <c r="Q18" s="30">
        <v>23</v>
      </c>
      <c r="R18" s="35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40</v>
      </c>
    </row>
    <row r="19" spans="1:22" ht="15.75" customHeight="1" x14ac:dyDescent="0.2">
      <c r="A19" s="4" t="s">
        <v>39</v>
      </c>
      <c r="B19" s="22" t="s">
        <v>40</v>
      </c>
      <c r="C19" s="23" t="s">
        <v>41</v>
      </c>
      <c r="D19" s="24">
        <v>157</v>
      </c>
      <c r="E19" s="25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132</v>
      </c>
      <c r="F19" s="26"/>
      <c r="G19" s="23">
        <v>11</v>
      </c>
      <c r="H19" s="27"/>
      <c r="I19" s="23"/>
      <c r="J19" s="23"/>
      <c r="K19" s="23"/>
      <c r="L19" s="23"/>
      <c r="M19" s="23"/>
      <c r="N19" s="23"/>
      <c r="O19" s="23">
        <v>8</v>
      </c>
      <c r="P19" s="23"/>
      <c r="Q19" s="23">
        <v>6</v>
      </c>
      <c r="R19" s="28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25</v>
      </c>
    </row>
    <row r="20" spans="1:22" ht="15" customHeight="1" x14ac:dyDescent="0.2">
      <c r="A20" s="4"/>
      <c r="B20" s="22" t="s">
        <v>42</v>
      </c>
      <c r="C20" s="23" t="s">
        <v>43</v>
      </c>
      <c r="D20" s="24">
        <v>307</v>
      </c>
      <c r="E20" s="25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361</v>
      </c>
      <c r="F20" s="26"/>
      <c r="G20" s="23">
        <v>10</v>
      </c>
      <c r="H20" s="27"/>
      <c r="I20" s="23"/>
      <c r="J20" s="23"/>
      <c r="K20" s="23"/>
      <c r="L20" s="23"/>
      <c r="M20" s="23"/>
      <c r="N20" s="23">
        <v>112</v>
      </c>
      <c r="O20" s="23">
        <v>10</v>
      </c>
      <c r="P20" s="23"/>
      <c r="Q20" s="23">
        <v>38</v>
      </c>
      <c r="R20" s="28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58</v>
      </c>
      <c r="S20" s="73"/>
      <c r="T20" s="73"/>
      <c r="U20" s="73"/>
      <c r="V20" s="73"/>
    </row>
    <row r="21" spans="1:22" ht="15.75" customHeight="1" x14ac:dyDescent="0.2">
      <c r="A21" s="4"/>
      <c r="B21" s="29" t="s">
        <v>44</v>
      </c>
      <c r="C21" s="30" t="s">
        <v>45</v>
      </c>
      <c r="D21" s="31">
        <v>115</v>
      </c>
      <c r="E21" s="32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110</v>
      </c>
      <c r="F21" s="33"/>
      <c r="G21" s="30">
        <v>2</v>
      </c>
      <c r="H21" s="34"/>
      <c r="I21" s="30"/>
      <c r="J21" s="30"/>
      <c r="K21" s="30"/>
      <c r="L21" s="30"/>
      <c r="M21" s="30"/>
      <c r="N21" s="30"/>
      <c r="O21" s="30">
        <v>1</v>
      </c>
      <c r="P21" s="30"/>
      <c r="Q21" s="30">
        <v>2</v>
      </c>
      <c r="R21" s="35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5</v>
      </c>
    </row>
    <row r="22" spans="1:22" ht="15.75" customHeight="1" x14ac:dyDescent="0.2">
      <c r="A22" s="4"/>
      <c r="B22" s="22" t="s">
        <v>46</v>
      </c>
      <c r="C22" s="23" t="s">
        <v>47</v>
      </c>
      <c r="D22" s="24">
        <v>158</v>
      </c>
      <c r="E22" s="25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138</v>
      </c>
      <c r="F22" s="26"/>
      <c r="G22" s="23">
        <v>12</v>
      </c>
      <c r="H22" s="27"/>
      <c r="I22" s="23"/>
      <c r="J22" s="23"/>
      <c r="K22" s="23"/>
      <c r="L22" s="23"/>
      <c r="M22" s="23"/>
      <c r="N22" s="23"/>
      <c r="O22" s="23">
        <v>1</v>
      </c>
      <c r="P22" s="23"/>
      <c r="Q22" s="23">
        <v>7</v>
      </c>
      <c r="R22" s="28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20</v>
      </c>
    </row>
    <row r="23" spans="1:22" ht="15.75" customHeight="1" x14ac:dyDescent="0.2">
      <c r="A23" s="4"/>
      <c r="B23" s="29" t="s">
        <v>48</v>
      </c>
      <c r="C23" s="30" t="s">
        <v>49</v>
      </c>
      <c r="D23" s="31">
        <v>153</v>
      </c>
      <c r="E23" s="32">
        <f>STOCK6876849210010811612413214014813215616417218018815616417219620421222022823624425226026827628429230030831632433234346354362370378[[#This Row],[INVENTARIO INICIAL]]+STOCK6876849210010811612413214014813215616417218018815616417219620421222022823624425226026827628429230030831632433234346354362370378[[#This Row],[INGRESO LUNES]]-STOCK6876849210010811612413214014813215616417218018815616417219620421222022823624425226026827628429230030831632433234346354362370378[[#This Row],[VENTA    LUNES]]+STOCK6876849210010811612413214014813215616417218018815616417219620421222022823624425226026827628429230030831632433234346354362370378[[#This Row],[INGRESO MARTES]]-STOCK6876849210010811612413214014813215616417218018815616417219620421222022823624425226026827628429230030831632433234346354362370378[[#This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Row],[INGRESO MIERCOLES]]-STOCK6876849210010811612413214014813215616417218018815616417219620421222022823624425226026827628429230030831632433234346354362370378[[#This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Row],[INGRESO JUEVES]]-STOCK6876849210010811612413214014813215616417218018815616417219620421222022823624425226026827628429230030831632433234346354362370378[[#This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Row],[INGRESO VIERNES]]-STOCK6876849210010811612413214014813215616417218018815616417219620421222022823624425226026827628429230030831632433234346354362370378[[#This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 INGRESO SABADO]]-STOCK6876849210010811612413214014813215616417218018815616417219620421222022823624425226026827628429230030831632433234346354362370378[[#This Row],[VENTA SABADO]]</f>
        <v>142</v>
      </c>
      <c r="F23" s="33"/>
      <c r="G23" s="30">
        <v>5</v>
      </c>
      <c r="H23" s="34"/>
      <c r="I23" s="30"/>
      <c r="J23" s="30"/>
      <c r="K23" s="30"/>
      <c r="L23" s="30"/>
      <c r="M23" s="30"/>
      <c r="N23" s="30"/>
      <c r="O23" s="30">
        <v>1</v>
      </c>
      <c r="P23" s="30"/>
      <c r="Q23" s="30">
        <v>5</v>
      </c>
      <c r="R23" s="35">
        <f>STOCK6876849210010811612413214014813215616417218018815616417219620421222022823624425226026827628429230030831632433234346354362370378[[#This Row],[VENTA    LUNES]]++STOCK6876849210010811612413214014813215616417218018815616417219620421222022823624425226026827628429230030831632433234346354362370378[[#This Row],[VENTA MARTES]]+STOCK6876849210010811612413214014813215616417218018815616417219620421222022823624425226026827628429230030831632433234346354362370378[[#This Row],[VENTA MIERCOLES]]+STOCK6876849210010811612413214014813215616417218018815616417219620421222022823624425226026827628429230030831632433234346354362370378[[#This Row],[VENTA JUEVES]]+STOCK6876849210010811612413214014813215616417218018815616417219620421222022823624425226026827628429230030831632433234346354362370378[[#This Row],[VENTA VIERNES]]+STOCK6876849210010811612413214014813215616417218018815616417219620421222022823624425226026827628429230030831632433234346354362370378[[#This Row],[VENTA SABADO]]</f>
        <v>11</v>
      </c>
    </row>
    <row r="25" spans="1:22" ht="38.25" customHeight="1" x14ac:dyDescent="0.2">
      <c r="B25" s="16" t="s">
        <v>50</v>
      </c>
      <c r="C25" s="17" t="s">
        <v>5</v>
      </c>
      <c r="D25" s="18" t="s">
        <v>6</v>
      </c>
      <c r="E25" s="37" t="s">
        <v>7</v>
      </c>
      <c r="F25" s="38" t="s">
        <v>8</v>
      </c>
      <c r="G25" s="17" t="s">
        <v>51</v>
      </c>
      <c r="H25" s="18" t="s">
        <v>10</v>
      </c>
      <c r="I25" s="38" t="s">
        <v>11</v>
      </c>
      <c r="J25" s="17" t="s">
        <v>12</v>
      </c>
      <c r="K25" s="18" t="s">
        <v>13</v>
      </c>
      <c r="L25" s="17" t="s">
        <v>14</v>
      </c>
      <c r="M25" s="17" t="s">
        <v>15</v>
      </c>
      <c r="N25" s="18" t="s">
        <v>16</v>
      </c>
      <c r="O25" s="18" t="s">
        <v>17</v>
      </c>
      <c r="P25" s="17" t="s">
        <v>18</v>
      </c>
      <c r="Q25" s="18" t="s">
        <v>19</v>
      </c>
      <c r="R25" s="17" t="s">
        <v>20</v>
      </c>
    </row>
    <row r="26" spans="1:22" x14ac:dyDescent="0.2">
      <c r="B26" s="22" t="s">
        <v>52</v>
      </c>
      <c r="C26" s="23" t="s">
        <v>53</v>
      </c>
      <c r="D26" s="24">
        <v>208</v>
      </c>
      <c r="E26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205</v>
      </c>
      <c r="F26" s="26"/>
      <c r="G26" s="23">
        <v>3</v>
      </c>
      <c r="H26" s="27"/>
      <c r="I26" s="23"/>
      <c r="J26" s="23"/>
      <c r="K26" s="23"/>
      <c r="L26" s="23"/>
      <c r="M26" s="23"/>
      <c r="N26" s="23"/>
      <c r="O26" s="23"/>
      <c r="P26" s="23"/>
      <c r="Q26" s="23"/>
      <c r="R26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3</v>
      </c>
    </row>
    <row r="27" spans="1:22" x14ac:dyDescent="0.2">
      <c r="B27" s="29" t="s">
        <v>54</v>
      </c>
      <c r="C27" s="30" t="s">
        <v>55</v>
      </c>
      <c r="D27" s="31">
        <v>194</v>
      </c>
      <c r="E27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185</v>
      </c>
      <c r="F27" s="33"/>
      <c r="G27" s="30"/>
      <c r="H27" s="34"/>
      <c r="I27" s="30"/>
      <c r="J27" s="30"/>
      <c r="K27" s="30"/>
      <c r="L27" s="30"/>
      <c r="M27" s="30"/>
      <c r="N27" s="30"/>
      <c r="O27" s="30">
        <v>1</v>
      </c>
      <c r="P27" s="30"/>
      <c r="Q27" s="30">
        <v>8</v>
      </c>
      <c r="R27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9</v>
      </c>
    </row>
    <row r="28" spans="1:22" ht="13.5" customHeight="1" x14ac:dyDescent="0.2">
      <c r="B28" s="22" t="s">
        <v>56</v>
      </c>
      <c r="C28" s="23" t="s">
        <v>57</v>
      </c>
      <c r="D28" s="24">
        <v>191</v>
      </c>
      <c r="E28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167</v>
      </c>
      <c r="F28" s="26"/>
      <c r="G28" s="23">
        <v>10</v>
      </c>
      <c r="H28" s="27"/>
      <c r="I28" s="23"/>
      <c r="J28" s="23"/>
      <c r="K28" s="23"/>
      <c r="L28" s="23"/>
      <c r="M28" s="23"/>
      <c r="N28" s="23"/>
      <c r="O28" s="23">
        <v>1</v>
      </c>
      <c r="P28" s="23"/>
      <c r="Q28" s="23">
        <v>13</v>
      </c>
      <c r="R28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24</v>
      </c>
    </row>
    <row r="29" spans="1:22" x14ac:dyDescent="0.2">
      <c r="B29" s="29" t="s">
        <v>58</v>
      </c>
      <c r="C29" s="30" t="s">
        <v>59</v>
      </c>
      <c r="D29" s="31">
        <v>62</v>
      </c>
      <c r="E29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26</v>
      </c>
      <c r="F29" s="33"/>
      <c r="G29" s="30">
        <v>14</v>
      </c>
      <c r="H29" s="34"/>
      <c r="I29" s="30"/>
      <c r="J29" s="30"/>
      <c r="K29" s="30"/>
      <c r="L29" s="30"/>
      <c r="M29" s="30"/>
      <c r="N29" s="30"/>
      <c r="O29" s="30">
        <v>4</v>
      </c>
      <c r="P29" s="30"/>
      <c r="Q29" s="30">
        <v>18</v>
      </c>
      <c r="R29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36</v>
      </c>
    </row>
    <row r="30" spans="1:22" x14ac:dyDescent="0.2">
      <c r="B30" s="22" t="s">
        <v>60</v>
      </c>
      <c r="C30" s="23" t="s">
        <v>61</v>
      </c>
      <c r="D30" s="24">
        <v>22</v>
      </c>
      <c r="E30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22</v>
      </c>
      <c r="F30" s="26"/>
      <c r="G30" s="23"/>
      <c r="H30" s="27"/>
      <c r="I30" s="23"/>
      <c r="J30" s="23"/>
      <c r="K30" s="23"/>
      <c r="L30" s="23"/>
      <c r="M30" s="23"/>
      <c r="N30" s="23"/>
      <c r="O30" s="23"/>
      <c r="P30" s="23"/>
      <c r="Q30" s="23"/>
      <c r="R30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31" spans="1:22" x14ac:dyDescent="0.2">
      <c r="B31" s="29" t="s">
        <v>62</v>
      </c>
      <c r="C31" s="30" t="s">
        <v>63</v>
      </c>
      <c r="D31" s="31">
        <v>500</v>
      </c>
      <c r="E31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478</v>
      </c>
      <c r="F31" s="33"/>
      <c r="G31" s="30">
        <v>18</v>
      </c>
      <c r="H31" s="34"/>
      <c r="I31" s="30"/>
      <c r="J31" s="30"/>
      <c r="K31" s="30"/>
      <c r="L31" s="30"/>
      <c r="M31" s="30"/>
      <c r="N31" s="30"/>
      <c r="O31" s="30">
        <v>3</v>
      </c>
      <c r="P31" s="30"/>
      <c r="Q31" s="30">
        <v>1</v>
      </c>
      <c r="R31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22</v>
      </c>
    </row>
    <row r="32" spans="1:22" x14ac:dyDescent="0.2">
      <c r="B32" s="22" t="s">
        <v>64</v>
      </c>
      <c r="C32" s="23" t="s">
        <v>65</v>
      </c>
      <c r="D32" s="24">
        <v>296</v>
      </c>
      <c r="E32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215</v>
      </c>
      <c r="F32" s="26"/>
      <c r="G32" s="23">
        <v>33</v>
      </c>
      <c r="H32" s="27"/>
      <c r="I32" s="23"/>
      <c r="J32" s="23"/>
      <c r="K32" s="23"/>
      <c r="L32" s="23"/>
      <c r="M32" s="23"/>
      <c r="N32" s="23"/>
      <c r="O32" s="23">
        <v>8</v>
      </c>
      <c r="P32" s="23"/>
      <c r="Q32" s="23">
        <v>40</v>
      </c>
      <c r="R32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81</v>
      </c>
    </row>
    <row r="33" spans="2:18" x14ac:dyDescent="0.2">
      <c r="B33" s="29" t="s">
        <v>66</v>
      </c>
      <c r="C33" s="30" t="s">
        <v>67</v>
      </c>
      <c r="D33" s="31">
        <v>131</v>
      </c>
      <c r="E33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122</v>
      </c>
      <c r="F33" s="33"/>
      <c r="G33" s="30">
        <v>2</v>
      </c>
      <c r="H33" s="34"/>
      <c r="I33" s="30"/>
      <c r="J33" s="30"/>
      <c r="K33" s="30"/>
      <c r="L33" s="30"/>
      <c r="M33" s="30"/>
      <c r="N33" s="30"/>
      <c r="O33" s="30">
        <v>1</v>
      </c>
      <c r="P33" s="30"/>
      <c r="Q33" s="30">
        <v>6</v>
      </c>
      <c r="R33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9</v>
      </c>
    </row>
    <row r="34" spans="2:18" x14ac:dyDescent="0.2">
      <c r="B34" s="22" t="s">
        <v>68</v>
      </c>
      <c r="C34" s="23" t="s">
        <v>69</v>
      </c>
      <c r="D34" s="24"/>
      <c r="E34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0</v>
      </c>
      <c r="F34" s="26"/>
      <c r="G34" s="23"/>
      <c r="H34" s="27"/>
      <c r="I34" s="23"/>
      <c r="J34" s="23"/>
      <c r="K34" s="23"/>
      <c r="L34" s="23"/>
      <c r="M34" s="23"/>
      <c r="N34" s="23"/>
      <c r="O34" s="23"/>
      <c r="P34" s="23"/>
      <c r="Q34" s="23"/>
      <c r="R34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35" spans="2:18" x14ac:dyDescent="0.2">
      <c r="B35" s="29" t="s">
        <v>70</v>
      </c>
      <c r="C35" s="30" t="s">
        <v>71</v>
      </c>
      <c r="D35" s="31">
        <v>104</v>
      </c>
      <c r="E35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142</v>
      </c>
      <c r="F35" s="33"/>
      <c r="G35" s="30">
        <v>32</v>
      </c>
      <c r="H35" s="34"/>
      <c r="I35" s="30"/>
      <c r="J35" s="30"/>
      <c r="K35" s="30"/>
      <c r="L35" s="30"/>
      <c r="M35" s="30"/>
      <c r="N35" s="30">
        <v>100</v>
      </c>
      <c r="O35" s="30">
        <v>9</v>
      </c>
      <c r="P35" s="30"/>
      <c r="Q35" s="30">
        <v>21</v>
      </c>
      <c r="R35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62</v>
      </c>
    </row>
    <row r="36" spans="2:18" x14ac:dyDescent="0.2">
      <c r="B36" s="22" t="s">
        <v>72</v>
      </c>
      <c r="C36" s="23" t="s">
        <v>73</v>
      </c>
      <c r="D36" s="24">
        <v>51</v>
      </c>
      <c r="E36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110</v>
      </c>
      <c r="F36" s="26"/>
      <c r="G36" s="23">
        <v>31</v>
      </c>
      <c r="H36" s="27"/>
      <c r="I36" s="23"/>
      <c r="J36" s="23"/>
      <c r="K36" s="23"/>
      <c r="L36" s="23"/>
      <c r="M36" s="23"/>
      <c r="N36" s="23">
        <v>159</v>
      </c>
      <c r="O36" s="23">
        <v>25</v>
      </c>
      <c r="P36" s="23"/>
      <c r="Q36" s="23">
        <v>44</v>
      </c>
      <c r="R36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100</v>
      </c>
    </row>
    <row r="37" spans="2:18" ht="12" customHeight="1" x14ac:dyDescent="0.2">
      <c r="B37" s="29" t="s">
        <v>74</v>
      </c>
      <c r="C37" s="30" t="s">
        <v>75</v>
      </c>
      <c r="D37" s="31">
        <v>103</v>
      </c>
      <c r="E37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80</v>
      </c>
      <c r="F37" s="33"/>
      <c r="G37" s="30">
        <v>11</v>
      </c>
      <c r="H37" s="34"/>
      <c r="I37" s="30"/>
      <c r="J37" s="30"/>
      <c r="K37" s="30"/>
      <c r="L37" s="30"/>
      <c r="M37" s="30"/>
      <c r="N37" s="30">
        <v>3</v>
      </c>
      <c r="O37" s="30">
        <v>1</v>
      </c>
      <c r="P37" s="30"/>
      <c r="Q37" s="30">
        <v>14</v>
      </c>
      <c r="R37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26</v>
      </c>
    </row>
    <row r="38" spans="2:18" x14ac:dyDescent="0.2">
      <c r="B38" s="22" t="s">
        <v>76</v>
      </c>
      <c r="C38" s="23" t="s">
        <v>77</v>
      </c>
      <c r="D38" s="24">
        <v>132</v>
      </c>
      <c r="E38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123</v>
      </c>
      <c r="F38" s="26"/>
      <c r="G38" s="23"/>
      <c r="H38" s="27"/>
      <c r="I38" s="23"/>
      <c r="J38" s="23"/>
      <c r="K38" s="23"/>
      <c r="L38" s="23"/>
      <c r="M38" s="23"/>
      <c r="N38" s="23"/>
      <c r="O38" s="23">
        <v>1</v>
      </c>
      <c r="P38" s="23"/>
      <c r="Q38" s="23">
        <v>8</v>
      </c>
      <c r="R38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9</v>
      </c>
    </row>
    <row r="39" spans="2:18" x14ac:dyDescent="0.2">
      <c r="B39" s="29" t="s">
        <v>78</v>
      </c>
      <c r="C39" s="30" t="s">
        <v>79</v>
      </c>
      <c r="D39" s="31">
        <v>59</v>
      </c>
      <c r="E39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21</v>
      </c>
      <c r="F39" s="33"/>
      <c r="G39" s="30">
        <v>15</v>
      </c>
      <c r="H39" s="34"/>
      <c r="I39" s="30"/>
      <c r="J39" s="30"/>
      <c r="K39" s="30"/>
      <c r="L39" s="30"/>
      <c r="M39" s="30"/>
      <c r="N39" s="30"/>
      <c r="O39" s="30">
        <v>6</v>
      </c>
      <c r="P39" s="30"/>
      <c r="Q39" s="30">
        <v>17</v>
      </c>
      <c r="R39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38</v>
      </c>
    </row>
    <row r="40" spans="2:18" x14ac:dyDescent="0.2">
      <c r="B40" s="22" t="s">
        <v>80</v>
      </c>
      <c r="C40" s="23" t="s">
        <v>81</v>
      </c>
      <c r="D40" s="24">
        <v>73</v>
      </c>
      <c r="E40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76</v>
      </c>
      <c r="F40" s="26"/>
      <c r="G40" s="23">
        <v>3</v>
      </c>
      <c r="H40" s="27"/>
      <c r="I40" s="23"/>
      <c r="J40" s="23"/>
      <c r="K40" s="23"/>
      <c r="L40" s="23"/>
      <c r="M40" s="23"/>
      <c r="N40" s="23">
        <v>6</v>
      </c>
      <c r="O40" s="23"/>
      <c r="P40" s="23"/>
      <c r="Q40" s="23"/>
      <c r="R40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3</v>
      </c>
    </row>
    <row r="41" spans="2:18" x14ac:dyDescent="0.2">
      <c r="B41" s="29" t="s">
        <v>82</v>
      </c>
      <c r="C41" s="30" t="s">
        <v>83</v>
      </c>
      <c r="D41" s="31"/>
      <c r="E41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0</v>
      </c>
      <c r="F41" s="33"/>
      <c r="G41" s="30"/>
      <c r="H41" s="34"/>
      <c r="I41" s="30"/>
      <c r="J41" s="30"/>
      <c r="K41" s="30"/>
      <c r="L41" s="30"/>
      <c r="M41" s="30"/>
      <c r="N41" s="30"/>
      <c r="O41" s="30"/>
      <c r="P41" s="30"/>
      <c r="Q41" s="30"/>
      <c r="R41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42" spans="2:18" x14ac:dyDescent="0.2">
      <c r="B42" s="22" t="s">
        <v>84</v>
      </c>
      <c r="C42" s="23" t="s">
        <v>85</v>
      </c>
      <c r="D42" s="24">
        <v>74</v>
      </c>
      <c r="E42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74</v>
      </c>
      <c r="F42" s="26"/>
      <c r="G42" s="23"/>
      <c r="H42" s="27"/>
      <c r="I42" s="23"/>
      <c r="J42" s="23"/>
      <c r="K42" s="23"/>
      <c r="L42" s="23"/>
      <c r="M42" s="23"/>
      <c r="N42" s="23"/>
      <c r="O42" s="23"/>
      <c r="P42" s="23"/>
      <c r="Q42" s="23"/>
      <c r="R42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43" spans="2:18" x14ac:dyDescent="0.2">
      <c r="B43" s="29" t="s">
        <v>86</v>
      </c>
      <c r="C43" s="30" t="s">
        <v>87</v>
      </c>
      <c r="D43" s="24">
        <v>136</v>
      </c>
      <c r="E43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136</v>
      </c>
      <c r="F43" s="33"/>
      <c r="G43" s="30"/>
      <c r="H43" s="34"/>
      <c r="I43" s="30"/>
      <c r="J43" s="30"/>
      <c r="K43" s="30"/>
      <c r="L43" s="30"/>
      <c r="M43" s="30"/>
      <c r="N43" s="30"/>
      <c r="O43" s="30"/>
      <c r="P43" s="30"/>
      <c r="Q43" s="30"/>
      <c r="R43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44" spans="2:18" x14ac:dyDescent="0.2">
      <c r="B44" s="22" t="s">
        <v>88</v>
      </c>
      <c r="C44" s="23" t="s">
        <v>89</v>
      </c>
      <c r="D44" s="24">
        <v>289</v>
      </c>
      <c r="E44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289</v>
      </c>
      <c r="F44" s="26"/>
      <c r="G44" s="23"/>
      <c r="H44" s="27"/>
      <c r="I44" s="23"/>
      <c r="J44" s="23"/>
      <c r="K44" s="23"/>
      <c r="L44" s="23"/>
      <c r="M44" s="23"/>
      <c r="N44" s="23"/>
      <c r="O44" s="23"/>
      <c r="P44" s="23"/>
      <c r="Q44" s="23"/>
      <c r="R44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45" spans="2:18" x14ac:dyDescent="0.2">
      <c r="B45" s="29" t="s">
        <v>90</v>
      </c>
      <c r="C45" s="30" t="s">
        <v>91</v>
      </c>
      <c r="D45" s="31">
        <v>202</v>
      </c>
      <c r="E45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202</v>
      </c>
      <c r="F45" s="33"/>
      <c r="G45" s="30"/>
      <c r="H45" s="34"/>
      <c r="I45" s="30"/>
      <c r="J45" s="30"/>
      <c r="K45" s="30"/>
      <c r="L45" s="30"/>
      <c r="M45" s="30"/>
      <c r="N45" s="30"/>
      <c r="O45" s="30"/>
      <c r="P45" s="30"/>
      <c r="Q45" s="30"/>
      <c r="R45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46" spans="2:18" x14ac:dyDescent="0.2">
      <c r="B46" s="22" t="s">
        <v>92</v>
      </c>
      <c r="C46" s="23" t="s">
        <v>93</v>
      </c>
      <c r="D46" s="24">
        <v>131</v>
      </c>
      <c r="E46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131</v>
      </c>
      <c r="F46" s="26"/>
      <c r="G46" s="23"/>
      <c r="H46" s="27"/>
      <c r="I46" s="23"/>
      <c r="J46" s="23"/>
      <c r="K46" s="23"/>
      <c r="L46" s="23"/>
      <c r="M46" s="23"/>
      <c r="N46" s="23"/>
      <c r="O46" s="23"/>
      <c r="P46" s="23"/>
      <c r="Q46" s="23"/>
      <c r="R46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47" spans="2:18" x14ac:dyDescent="0.2">
      <c r="B47" s="29" t="s">
        <v>94</v>
      </c>
      <c r="C47" s="30" t="s">
        <v>95</v>
      </c>
      <c r="D47" s="31">
        <v>297</v>
      </c>
      <c r="E47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281</v>
      </c>
      <c r="F47" s="33"/>
      <c r="G47" s="30">
        <v>8</v>
      </c>
      <c r="H47" s="34"/>
      <c r="I47" s="30"/>
      <c r="J47" s="30"/>
      <c r="K47" s="30"/>
      <c r="L47" s="30"/>
      <c r="M47" s="30"/>
      <c r="N47" s="30"/>
      <c r="O47" s="30">
        <v>1</v>
      </c>
      <c r="P47" s="30"/>
      <c r="Q47" s="30">
        <v>7</v>
      </c>
      <c r="R47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16</v>
      </c>
    </row>
    <row r="48" spans="2:18" x14ac:dyDescent="0.2">
      <c r="B48" s="22" t="s">
        <v>96</v>
      </c>
      <c r="C48" s="23" t="s">
        <v>97</v>
      </c>
      <c r="D48" s="24">
        <v>264</v>
      </c>
      <c r="E48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242</v>
      </c>
      <c r="F48" s="26"/>
      <c r="G48" s="23">
        <v>8</v>
      </c>
      <c r="H48" s="27"/>
      <c r="I48" s="23"/>
      <c r="J48" s="23"/>
      <c r="K48" s="23"/>
      <c r="L48" s="23"/>
      <c r="M48" s="23"/>
      <c r="N48" s="23"/>
      <c r="O48" s="23">
        <v>2</v>
      </c>
      <c r="P48" s="23"/>
      <c r="Q48" s="23">
        <v>12</v>
      </c>
      <c r="R48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22</v>
      </c>
    </row>
    <row r="49" spans="2:18" x14ac:dyDescent="0.2">
      <c r="B49" s="29" t="s">
        <v>98</v>
      </c>
      <c r="C49" s="30" t="s">
        <v>99</v>
      </c>
      <c r="D49" s="31"/>
      <c r="E49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0</v>
      </c>
      <c r="F49" s="33"/>
      <c r="G49" s="30"/>
      <c r="H49" s="34"/>
      <c r="I49" s="30"/>
      <c r="J49" s="30"/>
      <c r="K49" s="30"/>
      <c r="L49" s="30"/>
      <c r="M49" s="30"/>
      <c r="N49" s="30"/>
      <c r="O49" s="30"/>
      <c r="P49" s="30"/>
      <c r="Q49" s="30"/>
      <c r="R49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50" spans="2:18" ht="13.5" customHeight="1" x14ac:dyDescent="0.2">
      <c r="B50" s="22" t="s">
        <v>100</v>
      </c>
      <c r="C50" s="23" t="s">
        <v>101</v>
      </c>
      <c r="D50" s="24">
        <v>50</v>
      </c>
      <c r="E50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50</v>
      </c>
      <c r="F50" s="26"/>
      <c r="G50" s="23"/>
      <c r="H50" s="27"/>
      <c r="I50" s="23"/>
      <c r="J50" s="23"/>
      <c r="K50" s="23"/>
      <c r="L50" s="23"/>
      <c r="M50" s="23"/>
      <c r="N50" s="23"/>
      <c r="O50" s="23"/>
      <c r="P50" s="23"/>
      <c r="Q50" s="23"/>
      <c r="R50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51" spans="2:18" x14ac:dyDescent="0.2">
      <c r="B51" s="29" t="s">
        <v>102</v>
      </c>
      <c r="C51" s="30" t="s">
        <v>103</v>
      </c>
      <c r="D51" s="31">
        <v>93</v>
      </c>
      <c r="E51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93</v>
      </c>
      <c r="F51" s="33"/>
      <c r="G51" s="30"/>
      <c r="H51" s="34"/>
      <c r="I51" s="30"/>
      <c r="J51" s="30"/>
      <c r="K51" s="30"/>
      <c r="L51" s="30"/>
      <c r="M51" s="30"/>
      <c r="N51" s="30"/>
      <c r="O51" s="30"/>
      <c r="P51" s="30"/>
      <c r="Q51" s="30"/>
      <c r="R51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52" spans="2:18" x14ac:dyDescent="0.2">
      <c r="B52" s="22" t="s">
        <v>104</v>
      </c>
      <c r="C52" s="23" t="s">
        <v>105</v>
      </c>
      <c r="D52" s="24">
        <v>17</v>
      </c>
      <c r="E52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2</v>
      </c>
      <c r="F52" s="26"/>
      <c r="G52" s="23"/>
      <c r="H52" s="27"/>
      <c r="I52" s="23"/>
      <c r="J52" s="23"/>
      <c r="K52" s="23"/>
      <c r="L52" s="23"/>
      <c r="M52" s="23"/>
      <c r="N52" s="23"/>
      <c r="O52" s="23"/>
      <c r="P52" s="23"/>
      <c r="Q52" s="23">
        <v>15</v>
      </c>
      <c r="R52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15</v>
      </c>
    </row>
    <row r="53" spans="2:18" x14ac:dyDescent="0.2">
      <c r="B53" s="29" t="s">
        <v>106</v>
      </c>
      <c r="C53" s="30" t="s">
        <v>107</v>
      </c>
      <c r="D53" s="31">
        <v>37</v>
      </c>
      <c r="E53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37</v>
      </c>
      <c r="F53" s="33"/>
      <c r="G53" s="30"/>
      <c r="H53" s="34"/>
      <c r="I53" s="30"/>
      <c r="J53" s="30"/>
      <c r="K53" s="30"/>
      <c r="L53" s="30"/>
      <c r="M53" s="30"/>
      <c r="N53" s="30"/>
      <c r="O53" s="30"/>
      <c r="P53" s="30"/>
      <c r="Q53" s="30"/>
      <c r="R53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54" spans="2:18" x14ac:dyDescent="0.2">
      <c r="B54" s="22" t="s">
        <v>108</v>
      </c>
      <c r="C54" s="23" t="s">
        <v>109</v>
      </c>
      <c r="D54" s="24">
        <v>14</v>
      </c>
      <c r="E54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14</v>
      </c>
      <c r="F54" s="26"/>
      <c r="G54" s="23"/>
      <c r="H54" s="27"/>
      <c r="I54" s="23"/>
      <c r="J54" s="23"/>
      <c r="K54" s="23"/>
      <c r="L54" s="23"/>
      <c r="M54" s="23"/>
      <c r="N54" s="23"/>
      <c r="O54" s="23"/>
      <c r="P54" s="23"/>
      <c r="Q54" s="23"/>
      <c r="R54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55" spans="2:18" x14ac:dyDescent="0.2">
      <c r="B55" s="29" t="s">
        <v>110</v>
      </c>
      <c r="C55" s="30" t="s">
        <v>111</v>
      </c>
      <c r="D55" s="31">
        <v>68</v>
      </c>
      <c r="E55" s="32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68</v>
      </c>
      <c r="F55" s="33"/>
      <c r="G55" s="30"/>
      <c r="H55" s="34"/>
      <c r="I55" s="30"/>
      <c r="J55" s="30"/>
      <c r="K55" s="30"/>
      <c r="L55" s="30"/>
      <c r="M55" s="30"/>
      <c r="N55" s="30"/>
      <c r="O55" s="30"/>
      <c r="P55" s="30"/>
      <c r="Q55" s="30"/>
      <c r="R55" s="35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56" spans="2:18" x14ac:dyDescent="0.2">
      <c r="B56" s="22" t="s">
        <v>112</v>
      </c>
      <c r="C56" s="23" t="s">
        <v>113</v>
      </c>
      <c r="D56" s="24">
        <v>86</v>
      </c>
      <c r="E56" s="25">
        <f>Tabla13111927374553616977859310110911712513314114913315716517318118915716517319720521322122923724525326126927728529330130931732533335347355363371379[[#This Row],[INVENTARIO INICIAL]]+Tabla13111927374553616977859310110911712513314114913315716517318118915716517319720521322122923724525326126927728529330130931732533335347355363371379[[#This Row],[INGRESO LUNES]]-Tabla13111927374553616977859310110911712513314114913315716517318118915716517319720521322122923724525326126927728529330130931732533335347355363371379[[#This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Row],[INGRESO MARTES]]-Tabla13111927374553616977859310110911712513314114913315716517318118915716517319720521322122923724525326126927728529330130931732533335347355363371379[[#This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Row],[INGRESO MIERCOLES]]-Tabla13111927374553616977859310110911712513314114913315716517318118915716517319720521322122923724525326126927728529330130931732533335347355363371379[[#This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Row],[INGRESO JUEVES]]-Tabla13111927374553616977859310110911712513314114913315716517318118915716517319720521322122923724525326126927728529330130931732533335347355363371379[[#This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Row],[INGRESO VIERNES]]-Tabla13111927374553616977859310110911712513314114913315716517318118915716517319720521322122923724525326126927728529330130931732533335347355363371379[[#This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 INGRESO SABADO]]-Tabla13111927374553616977859310110911712513314114913315716517318118915716517319720521322122923724525326126927728529330130931732533335347355363371379[[#This Row],[VENTA SABADO]]</f>
        <v>86</v>
      </c>
      <c r="F56" s="26"/>
      <c r="G56" s="23"/>
      <c r="H56" s="27"/>
      <c r="I56" s="23"/>
      <c r="J56" s="23"/>
      <c r="K56" s="23"/>
      <c r="L56" s="23"/>
      <c r="M56" s="23"/>
      <c r="N56" s="23"/>
      <c r="O56" s="23"/>
      <c r="P56" s="23"/>
      <c r="Q56" s="23"/>
      <c r="R56" s="28">
        <f>Tabla13111927374553616977859310110911712513314114913315716517318118915716517319720521322122923724525326126927728529330130931732533335347355363371379[[#This Row],[VENTA LUNES]]+Tabla13111927374553616977859310110911712513314114913315716517318118915716517319720521322122923724525326126927728529330130931732533335347355363371379[[#This Row],[VENTA MARTES]]+Tabla13111927374553616977859310110911712513314114913315716517318118915716517319720521322122923724525326126927728529330130931732533335347355363371379[[#This Row],[VENTA MIERCOLES]]+Tabla13111927374553616977859310110911712513314114913315716517318118915716517319720521322122923724525326126927728529330130931732533335347355363371379[[#This Row],[VENTA JUEVES]]+Tabla13111927374553616977859310110911712513314114913315716517318118915716517319720521322122923724525326126927728529330130931732533335347355363371379[[#This Row],[VENTA VIERNES]]+Tabla13111927374553616977859310110911712513314114913315716517318118915716517319720521322122923724525326126927728529330130931732533335347355363371379[[#This Row],[VENTA SABADO]]</f>
        <v>0</v>
      </c>
    </row>
    <row r="58" spans="2:18" ht="38.25" x14ac:dyDescent="0.2">
      <c r="B58" s="17" t="s">
        <v>114</v>
      </c>
      <c r="C58" s="17" t="s">
        <v>5</v>
      </c>
      <c r="D58" s="17" t="s">
        <v>6</v>
      </c>
      <c r="E58" s="17" t="s">
        <v>7</v>
      </c>
      <c r="F58" s="17" t="s">
        <v>8</v>
      </c>
      <c r="G58" s="17" t="s">
        <v>51</v>
      </c>
      <c r="H58" s="17" t="s">
        <v>10</v>
      </c>
      <c r="I58" s="17" t="s">
        <v>11</v>
      </c>
      <c r="J58" s="17" t="s">
        <v>12</v>
      </c>
      <c r="K58" s="17" t="s">
        <v>13</v>
      </c>
      <c r="L58" s="17" t="s">
        <v>14</v>
      </c>
      <c r="M58" s="17" t="s">
        <v>15</v>
      </c>
      <c r="N58" s="17" t="s">
        <v>16</v>
      </c>
      <c r="O58" s="17" t="s">
        <v>17</v>
      </c>
      <c r="P58" s="17" t="s">
        <v>18</v>
      </c>
      <c r="Q58" s="17" t="s">
        <v>19</v>
      </c>
      <c r="R58" s="17" t="s">
        <v>20</v>
      </c>
    </row>
    <row r="59" spans="2:18" x14ac:dyDescent="0.2">
      <c r="B59" s="22" t="s">
        <v>115</v>
      </c>
      <c r="C59" s="23" t="s">
        <v>116</v>
      </c>
      <c r="D59" s="24">
        <v>386</v>
      </c>
      <c r="E59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384</v>
      </c>
      <c r="F59" s="23"/>
      <c r="G59" s="24"/>
      <c r="H59" s="39"/>
      <c r="I59" s="40"/>
      <c r="J59" s="41"/>
      <c r="K59" s="39"/>
      <c r="L59" s="40"/>
      <c r="M59" s="41"/>
      <c r="N59" s="39"/>
      <c r="O59" s="40"/>
      <c r="P59" s="41"/>
      <c r="Q59" s="39">
        <v>2</v>
      </c>
      <c r="R59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2</v>
      </c>
    </row>
    <row r="60" spans="2:18" x14ac:dyDescent="0.2">
      <c r="B60" s="29" t="s">
        <v>117</v>
      </c>
      <c r="C60" s="30" t="s">
        <v>118</v>
      </c>
      <c r="D60" s="31">
        <v>147</v>
      </c>
      <c r="E60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144</v>
      </c>
      <c r="F60" s="30"/>
      <c r="G60" s="31"/>
      <c r="H60" s="42"/>
      <c r="I60" s="43"/>
      <c r="J60" s="44"/>
      <c r="K60" s="42"/>
      <c r="L60" s="43"/>
      <c r="M60" s="44"/>
      <c r="N60" s="42"/>
      <c r="O60" s="43">
        <v>1</v>
      </c>
      <c r="P60" s="44"/>
      <c r="Q60" s="42">
        <v>2</v>
      </c>
      <c r="R60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3</v>
      </c>
    </row>
    <row r="61" spans="2:18" x14ac:dyDescent="0.2">
      <c r="B61" s="22" t="s">
        <v>119</v>
      </c>
      <c r="C61" s="23" t="s">
        <v>120</v>
      </c>
      <c r="D61" s="24">
        <v>549</v>
      </c>
      <c r="E61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533</v>
      </c>
      <c r="F61" s="23"/>
      <c r="G61" s="24"/>
      <c r="H61" s="39"/>
      <c r="I61" s="40"/>
      <c r="J61" s="41"/>
      <c r="K61" s="39"/>
      <c r="L61" s="40"/>
      <c r="M61" s="41"/>
      <c r="N61" s="39"/>
      <c r="O61" s="40">
        <v>1</v>
      </c>
      <c r="P61" s="41"/>
      <c r="Q61" s="39">
        <v>15</v>
      </c>
      <c r="R61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16</v>
      </c>
    </row>
    <row r="62" spans="2:18" x14ac:dyDescent="0.2">
      <c r="B62" s="29" t="s">
        <v>121</v>
      </c>
      <c r="C62" s="30" t="s">
        <v>122</v>
      </c>
      <c r="D62" s="31">
        <v>494</v>
      </c>
      <c r="E62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494</v>
      </c>
      <c r="F62" s="30"/>
      <c r="G62" s="31"/>
      <c r="H62" s="42"/>
      <c r="I62" s="43"/>
      <c r="J62" s="44"/>
      <c r="K62" s="42"/>
      <c r="L62" s="43"/>
      <c r="M62" s="44"/>
      <c r="N62" s="42"/>
      <c r="O62" s="43"/>
      <c r="P62" s="44"/>
      <c r="Q62" s="42"/>
      <c r="R62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63" spans="2:18" x14ac:dyDescent="0.2">
      <c r="B63" s="22" t="s">
        <v>123</v>
      </c>
      <c r="C63" s="23" t="s">
        <v>124</v>
      </c>
      <c r="D63" s="24">
        <v>101</v>
      </c>
      <c r="E63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101</v>
      </c>
      <c r="F63" s="23"/>
      <c r="G63" s="24"/>
      <c r="H63" s="39"/>
      <c r="I63" s="40"/>
      <c r="J63" s="41"/>
      <c r="K63" s="39"/>
      <c r="L63" s="40"/>
      <c r="M63" s="41"/>
      <c r="N63" s="39"/>
      <c r="O63" s="40"/>
      <c r="P63" s="41"/>
      <c r="Q63" s="39"/>
      <c r="R63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64" spans="2:18" x14ac:dyDescent="0.2">
      <c r="B64" s="29" t="s">
        <v>125</v>
      </c>
      <c r="C64" s="30" t="s">
        <v>126</v>
      </c>
      <c r="D64" s="31">
        <v>535</v>
      </c>
      <c r="E64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604</v>
      </c>
      <c r="F64" s="30"/>
      <c r="G64" s="31"/>
      <c r="H64" s="42"/>
      <c r="I64" s="43"/>
      <c r="J64" s="44"/>
      <c r="K64" s="42"/>
      <c r="L64" s="43"/>
      <c r="M64" s="44"/>
      <c r="N64" s="42">
        <v>69</v>
      </c>
      <c r="O64" s="43"/>
      <c r="P64" s="44"/>
      <c r="Q64" s="42"/>
      <c r="R64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65" spans="2:18" x14ac:dyDescent="0.2">
      <c r="B65" s="22" t="s">
        <v>127</v>
      </c>
      <c r="C65" s="23" t="s">
        <v>128</v>
      </c>
      <c r="D65" s="24">
        <v>666</v>
      </c>
      <c r="E65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666</v>
      </c>
      <c r="F65" s="23"/>
      <c r="G65" s="24"/>
      <c r="H65" s="39"/>
      <c r="I65" s="40"/>
      <c r="J65" s="41"/>
      <c r="K65" s="39"/>
      <c r="L65" s="40"/>
      <c r="M65" s="41"/>
      <c r="N65" s="39"/>
      <c r="O65" s="40"/>
      <c r="P65" s="41"/>
      <c r="Q65" s="39"/>
      <c r="R65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66" spans="2:18" x14ac:dyDescent="0.2">
      <c r="B66" s="29" t="s">
        <v>129</v>
      </c>
      <c r="C66" s="30" t="s">
        <v>130</v>
      </c>
      <c r="D66" s="31">
        <v>275</v>
      </c>
      <c r="E66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275</v>
      </c>
      <c r="F66" s="30"/>
      <c r="G66" s="31"/>
      <c r="H66" s="42"/>
      <c r="I66" s="43"/>
      <c r="J66" s="44"/>
      <c r="K66" s="42"/>
      <c r="L66" s="43"/>
      <c r="M66" s="44"/>
      <c r="N66" s="42"/>
      <c r="O66" s="43"/>
      <c r="P66" s="44"/>
      <c r="Q66" s="42"/>
      <c r="R66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67" spans="2:18" x14ac:dyDescent="0.2">
      <c r="B67" s="22" t="s">
        <v>131</v>
      </c>
      <c r="C67" s="23" t="s">
        <v>132</v>
      </c>
      <c r="D67" s="24"/>
      <c r="E67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0</v>
      </c>
      <c r="F67" s="23"/>
      <c r="G67" s="24"/>
      <c r="H67" s="39"/>
      <c r="I67" s="40"/>
      <c r="J67" s="41"/>
      <c r="K67" s="39"/>
      <c r="L67" s="40"/>
      <c r="M67" s="41"/>
      <c r="N67" s="39"/>
      <c r="O67" s="40"/>
      <c r="P67" s="41"/>
      <c r="Q67" s="39"/>
      <c r="R67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68" spans="2:18" x14ac:dyDescent="0.2">
      <c r="B68" s="29" t="s">
        <v>133</v>
      </c>
      <c r="C68" s="30" t="s">
        <v>134</v>
      </c>
      <c r="D68" s="31"/>
      <c r="E68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0</v>
      </c>
      <c r="F68" s="30"/>
      <c r="G68" s="31"/>
      <c r="H68" s="42"/>
      <c r="I68" s="43"/>
      <c r="J68" s="44"/>
      <c r="K68" s="42"/>
      <c r="L68" s="43"/>
      <c r="M68" s="44"/>
      <c r="N68" s="42"/>
      <c r="O68" s="43"/>
      <c r="P68" s="44"/>
      <c r="Q68" s="42"/>
      <c r="R68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69" spans="2:18" s="45" customFormat="1" x14ac:dyDescent="0.2">
      <c r="B69" s="22" t="s">
        <v>135</v>
      </c>
      <c r="C69" s="23" t="s">
        <v>136</v>
      </c>
      <c r="D69" s="24"/>
      <c r="E69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0</v>
      </c>
      <c r="F69" s="23"/>
      <c r="G69" s="24"/>
      <c r="H69" s="39"/>
      <c r="I69" s="40"/>
      <c r="J69" s="41"/>
      <c r="K69" s="39"/>
      <c r="L69" s="40"/>
      <c r="M69" s="41"/>
      <c r="N69" s="39"/>
      <c r="O69" s="40"/>
      <c r="P69" s="41"/>
      <c r="Q69" s="39"/>
      <c r="R69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70" spans="2:18" x14ac:dyDescent="0.2">
      <c r="B70" s="29" t="s">
        <v>137</v>
      </c>
      <c r="C70" s="30" t="s">
        <v>138</v>
      </c>
      <c r="D70" s="31"/>
      <c r="E70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0</v>
      </c>
      <c r="F70" s="30"/>
      <c r="G70" s="31"/>
      <c r="H70" s="42"/>
      <c r="I70" s="43"/>
      <c r="J70" s="44"/>
      <c r="K70" s="42"/>
      <c r="L70" s="43"/>
      <c r="M70" s="44"/>
      <c r="N70" s="42"/>
      <c r="O70" s="43"/>
      <c r="P70" s="44"/>
      <c r="Q70" s="42"/>
      <c r="R70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71" spans="2:18" x14ac:dyDescent="0.2">
      <c r="B71" s="22" t="s">
        <v>139</v>
      </c>
      <c r="C71" s="23" t="s">
        <v>140</v>
      </c>
      <c r="D71" s="24">
        <v>479</v>
      </c>
      <c r="E71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479</v>
      </c>
      <c r="F71" s="23"/>
      <c r="G71" s="24"/>
      <c r="H71" s="39"/>
      <c r="I71" s="40"/>
      <c r="J71" s="41"/>
      <c r="K71" s="39"/>
      <c r="L71" s="40"/>
      <c r="M71" s="41"/>
      <c r="N71" s="39"/>
      <c r="O71" s="40"/>
      <c r="P71" s="41"/>
      <c r="Q71" s="39"/>
      <c r="R71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72" spans="2:18" x14ac:dyDescent="0.2">
      <c r="B72" s="29" t="s">
        <v>141</v>
      </c>
      <c r="C72" s="30" t="s">
        <v>142</v>
      </c>
      <c r="D72" s="31">
        <v>232</v>
      </c>
      <c r="E72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232</v>
      </c>
      <c r="F72" s="30"/>
      <c r="G72" s="31"/>
      <c r="H72" s="42"/>
      <c r="I72" s="43"/>
      <c r="J72" s="44"/>
      <c r="K72" s="42"/>
      <c r="L72" s="43"/>
      <c r="M72" s="44"/>
      <c r="N72" s="42"/>
      <c r="O72" s="43"/>
      <c r="P72" s="44"/>
      <c r="Q72" s="42"/>
      <c r="R72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73" spans="2:18" x14ac:dyDescent="0.2">
      <c r="B73" s="22" t="s">
        <v>143</v>
      </c>
      <c r="C73" s="23" t="s">
        <v>144</v>
      </c>
      <c r="D73" s="24">
        <v>540</v>
      </c>
      <c r="E73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540</v>
      </c>
      <c r="F73" s="23"/>
      <c r="G73" s="24"/>
      <c r="H73" s="39"/>
      <c r="I73" s="40"/>
      <c r="J73" s="41"/>
      <c r="K73" s="39"/>
      <c r="L73" s="40"/>
      <c r="M73" s="41"/>
      <c r="N73" s="39"/>
      <c r="O73" s="40"/>
      <c r="P73" s="41"/>
      <c r="Q73" s="39"/>
      <c r="R73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74" spans="2:18" x14ac:dyDescent="0.2">
      <c r="B74" s="29" t="s">
        <v>145</v>
      </c>
      <c r="C74" s="30" t="s">
        <v>146</v>
      </c>
      <c r="D74" s="31">
        <v>850</v>
      </c>
      <c r="E74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831</v>
      </c>
      <c r="F74" s="30"/>
      <c r="G74" s="31"/>
      <c r="H74" s="42"/>
      <c r="I74" s="43"/>
      <c r="J74" s="44"/>
      <c r="K74" s="42"/>
      <c r="L74" s="43"/>
      <c r="M74" s="44"/>
      <c r="N74" s="42"/>
      <c r="O74" s="43">
        <v>4</v>
      </c>
      <c r="P74" s="44"/>
      <c r="Q74" s="42">
        <v>15</v>
      </c>
      <c r="R74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19</v>
      </c>
    </row>
    <row r="75" spans="2:18" x14ac:dyDescent="0.2">
      <c r="B75" s="22" t="s">
        <v>147</v>
      </c>
      <c r="C75" s="23" t="s">
        <v>148</v>
      </c>
      <c r="D75" s="24">
        <v>197</v>
      </c>
      <c r="E75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185</v>
      </c>
      <c r="F75" s="23"/>
      <c r="G75" s="24"/>
      <c r="H75" s="39"/>
      <c r="I75" s="40"/>
      <c r="J75" s="41"/>
      <c r="K75" s="39"/>
      <c r="L75" s="40"/>
      <c r="M75" s="41"/>
      <c r="N75" s="39"/>
      <c r="O75" s="40"/>
      <c r="P75" s="41"/>
      <c r="Q75" s="39">
        <v>12</v>
      </c>
      <c r="R75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12</v>
      </c>
    </row>
    <row r="76" spans="2:18" x14ac:dyDescent="0.2">
      <c r="B76" s="29" t="s">
        <v>149</v>
      </c>
      <c r="C76" s="30" t="s">
        <v>150</v>
      </c>
      <c r="D76" s="31">
        <v>88</v>
      </c>
      <c r="E76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75</v>
      </c>
      <c r="F76" s="30"/>
      <c r="G76" s="31"/>
      <c r="H76" s="42"/>
      <c r="I76" s="43"/>
      <c r="J76" s="44"/>
      <c r="K76" s="42"/>
      <c r="L76" s="43"/>
      <c r="M76" s="44"/>
      <c r="N76" s="42"/>
      <c r="O76" s="43">
        <v>1</v>
      </c>
      <c r="P76" s="44"/>
      <c r="Q76" s="42">
        <v>12</v>
      </c>
      <c r="R76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13</v>
      </c>
    </row>
    <row r="77" spans="2:18" x14ac:dyDescent="0.2">
      <c r="B77" s="22" t="s">
        <v>151</v>
      </c>
      <c r="C77" s="23" t="s">
        <v>152</v>
      </c>
      <c r="D77" s="24">
        <v>498</v>
      </c>
      <c r="E77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498</v>
      </c>
      <c r="F77" s="23"/>
      <c r="G77" s="24"/>
      <c r="H77" s="39"/>
      <c r="I77" s="40"/>
      <c r="J77" s="41"/>
      <c r="K77" s="39"/>
      <c r="L77" s="40"/>
      <c r="M77" s="41"/>
      <c r="N77" s="39"/>
      <c r="O77" s="40"/>
      <c r="P77" s="41"/>
      <c r="Q77" s="39"/>
      <c r="R77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78" spans="2:18" x14ac:dyDescent="0.2">
      <c r="B78" s="29" t="s">
        <v>153</v>
      </c>
      <c r="C78" s="30" t="s">
        <v>154</v>
      </c>
      <c r="D78" s="31">
        <v>426</v>
      </c>
      <c r="E78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426</v>
      </c>
      <c r="F78" s="30"/>
      <c r="G78" s="31"/>
      <c r="H78" s="42"/>
      <c r="I78" s="43"/>
      <c r="J78" s="44"/>
      <c r="K78" s="42"/>
      <c r="L78" s="43"/>
      <c r="M78" s="44"/>
      <c r="N78" s="42"/>
      <c r="O78" s="43"/>
      <c r="P78" s="44"/>
      <c r="Q78" s="42"/>
      <c r="R78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79" spans="2:18" x14ac:dyDescent="0.2">
      <c r="B79" s="22" t="s">
        <v>155</v>
      </c>
      <c r="C79" s="23" t="s">
        <v>156</v>
      </c>
      <c r="D79" s="24">
        <v>137</v>
      </c>
      <c r="E79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137</v>
      </c>
      <c r="F79" s="23"/>
      <c r="G79" s="24"/>
      <c r="H79" s="39"/>
      <c r="I79" s="40"/>
      <c r="J79" s="41"/>
      <c r="K79" s="39"/>
      <c r="L79" s="40"/>
      <c r="M79" s="41"/>
      <c r="N79" s="39"/>
      <c r="O79" s="40"/>
      <c r="P79" s="41"/>
      <c r="Q79" s="39"/>
      <c r="R79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80" spans="2:18" x14ac:dyDescent="0.2">
      <c r="B80" s="29" t="s">
        <v>157</v>
      </c>
      <c r="C80" s="30" t="s">
        <v>158</v>
      </c>
      <c r="D80" s="31">
        <v>782</v>
      </c>
      <c r="E80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782</v>
      </c>
      <c r="F80" s="30"/>
      <c r="G80" s="31"/>
      <c r="H80" s="42"/>
      <c r="I80" s="43"/>
      <c r="J80" s="44"/>
      <c r="K80" s="42"/>
      <c r="L80" s="43"/>
      <c r="M80" s="44"/>
      <c r="N80" s="42"/>
      <c r="O80" s="43"/>
      <c r="P80" s="44"/>
      <c r="Q80" s="42"/>
      <c r="R80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81" spans="2:18" s="53" customFormat="1" x14ac:dyDescent="0.2">
      <c r="B81" s="46" t="s">
        <v>159</v>
      </c>
      <c r="C81" s="47" t="s">
        <v>160</v>
      </c>
      <c r="D81" s="48">
        <v>259</v>
      </c>
      <c r="E81" s="49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259</v>
      </c>
      <c r="F81" s="47"/>
      <c r="G81" s="48"/>
      <c r="H81" s="50"/>
      <c r="I81" s="51"/>
      <c r="J81" s="52"/>
      <c r="K81" s="50"/>
      <c r="L81" s="51"/>
      <c r="M81" s="52"/>
      <c r="N81" s="50"/>
      <c r="O81" s="51"/>
      <c r="P81" s="52"/>
      <c r="Q81" s="50"/>
      <c r="R81" s="47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82" spans="2:18" x14ac:dyDescent="0.2">
      <c r="B82" s="29" t="s">
        <v>161</v>
      </c>
      <c r="C82" s="30" t="s">
        <v>162</v>
      </c>
      <c r="D82" s="31">
        <v>505</v>
      </c>
      <c r="E82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505</v>
      </c>
      <c r="F82" s="30"/>
      <c r="G82" s="31"/>
      <c r="H82" s="42"/>
      <c r="I82" s="43"/>
      <c r="J82" s="44"/>
      <c r="K82" s="42"/>
      <c r="L82" s="43"/>
      <c r="M82" s="44"/>
      <c r="N82" s="42"/>
      <c r="O82" s="43"/>
      <c r="P82" s="44"/>
      <c r="Q82" s="42"/>
      <c r="R82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83" spans="2:18" x14ac:dyDescent="0.2">
      <c r="B83" s="22" t="s">
        <v>163</v>
      </c>
      <c r="C83" s="23" t="s">
        <v>164</v>
      </c>
      <c r="D83" s="24">
        <v>233</v>
      </c>
      <c r="E83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233</v>
      </c>
      <c r="F83" s="23"/>
      <c r="G83" s="24"/>
      <c r="H83" s="39"/>
      <c r="I83" s="40"/>
      <c r="J83" s="41"/>
      <c r="K83" s="39"/>
      <c r="L83" s="40"/>
      <c r="M83" s="41"/>
      <c r="N83" s="39"/>
      <c r="O83" s="40"/>
      <c r="P83" s="41"/>
      <c r="Q83" s="39"/>
      <c r="R83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84" spans="2:18" x14ac:dyDescent="0.2">
      <c r="B84" s="29" t="s">
        <v>165</v>
      </c>
      <c r="C84" s="30" t="s">
        <v>166</v>
      </c>
      <c r="D84" s="31">
        <v>270</v>
      </c>
      <c r="E84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270</v>
      </c>
      <c r="F84" s="30"/>
      <c r="G84" s="31"/>
      <c r="H84" s="42"/>
      <c r="I84" s="43"/>
      <c r="J84" s="44"/>
      <c r="K84" s="42"/>
      <c r="L84" s="43"/>
      <c r="M84" s="44"/>
      <c r="N84" s="42"/>
      <c r="O84" s="43"/>
      <c r="P84" s="44"/>
      <c r="Q84" s="42"/>
      <c r="R84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85" spans="2:18" x14ac:dyDescent="0.2">
      <c r="B85" s="22" t="s">
        <v>167</v>
      </c>
      <c r="C85" s="23" t="s">
        <v>168</v>
      </c>
      <c r="D85" s="24">
        <v>17</v>
      </c>
      <c r="E85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17</v>
      </c>
      <c r="F85" s="23"/>
      <c r="G85" s="24"/>
      <c r="H85" s="39"/>
      <c r="I85" s="40"/>
      <c r="J85" s="41"/>
      <c r="K85" s="39"/>
      <c r="L85" s="40"/>
      <c r="M85" s="41"/>
      <c r="N85" s="39"/>
      <c r="O85" s="40"/>
      <c r="P85" s="41"/>
      <c r="Q85" s="39"/>
      <c r="R85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86" spans="2:18" x14ac:dyDescent="0.2">
      <c r="B86" s="29" t="s">
        <v>169</v>
      </c>
      <c r="C86" s="30" t="s">
        <v>170</v>
      </c>
      <c r="D86" s="31">
        <v>293</v>
      </c>
      <c r="E86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293</v>
      </c>
      <c r="F86" s="30"/>
      <c r="G86" s="31"/>
      <c r="H86" s="42"/>
      <c r="I86" s="43"/>
      <c r="J86" s="44"/>
      <c r="K86" s="42"/>
      <c r="L86" s="43"/>
      <c r="M86" s="44"/>
      <c r="N86" s="42"/>
      <c r="O86" s="43"/>
      <c r="P86" s="44"/>
      <c r="Q86" s="42"/>
      <c r="R86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87" spans="2:18" x14ac:dyDescent="0.2">
      <c r="B87" s="22" t="s">
        <v>171</v>
      </c>
      <c r="C87" s="23" t="s">
        <v>172</v>
      </c>
      <c r="D87" s="24">
        <v>81</v>
      </c>
      <c r="E87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81</v>
      </c>
      <c r="F87" s="23"/>
      <c r="G87" s="24"/>
      <c r="H87" s="39"/>
      <c r="I87" s="40"/>
      <c r="J87" s="41"/>
      <c r="K87" s="39"/>
      <c r="L87" s="40"/>
      <c r="M87" s="41"/>
      <c r="N87" s="39"/>
      <c r="O87" s="40"/>
      <c r="P87" s="41"/>
      <c r="Q87" s="39"/>
      <c r="R87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88" spans="2:18" x14ac:dyDescent="0.2">
      <c r="B88" s="29" t="s">
        <v>173</v>
      </c>
      <c r="C88" s="30" t="s">
        <v>174</v>
      </c>
      <c r="D88" s="31">
        <v>377</v>
      </c>
      <c r="E88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377</v>
      </c>
      <c r="F88" s="30"/>
      <c r="G88" s="31"/>
      <c r="H88" s="42"/>
      <c r="I88" s="43"/>
      <c r="J88" s="44"/>
      <c r="K88" s="42"/>
      <c r="L88" s="43"/>
      <c r="M88" s="44"/>
      <c r="N88" s="42"/>
      <c r="O88" s="43"/>
      <c r="P88" s="44"/>
      <c r="Q88" s="42"/>
      <c r="R88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89" spans="2:18" x14ac:dyDescent="0.2">
      <c r="B89" s="22" t="s">
        <v>175</v>
      </c>
      <c r="C89" s="23" t="s">
        <v>176</v>
      </c>
      <c r="D89" s="24">
        <v>53</v>
      </c>
      <c r="E89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53</v>
      </c>
      <c r="F89" s="23"/>
      <c r="G89" s="24"/>
      <c r="H89" s="39"/>
      <c r="I89" s="40"/>
      <c r="J89" s="41"/>
      <c r="K89" s="39"/>
      <c r="L89" s="40"/>
      <c r="M89" s="41"/>
      <c r="N89" s="39"/>
      <c r="O89" s="40"/>
      <c r="P89" s="41"/>
      <c r="Q89" s="39"/>
      <c r="R89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90" spans="2:18" x14ac:dyDescent="0.2">
      <c r="B90" s="29" t="s">
        <v>177</v>
      </c>
      <c r="C90" s="30" t="s">
        <v>178</v>
      </c>
      <c r="D90" s="31">
        <v>351</v>
      </c>
      <c r="E90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351</v>
      </c>
      <c r="F90" s="30"/>
      <c r="G90" s="31"/>
      <c r="H90" s="42"/>
      <c r="I90" s="43"/>
      <c r="J90" s="44"/>
      <c r="K90" s="42"/>
      <c r="L90" s="43"/>
      <c r="M90" s="44"/>
      <c r="N90" s="42"/>
      <c r="O90" s="43"/>
      <c r="P90" s="44"/>
      <c r="Q90" s="42"/>
      <c r="R90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91" spans="2:18" x14ac:dyDescent="0.2">
      <c r="B91" s="22" t="s">
        <v>179</v>
      </c>
      <c r="C91" s="23" t="s">
        <v>180</v>
      </c>
      <c r="D91" s="24">
        <v>41</v>
      </c>
      <c r="E91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41</v>
      </c>
      <c r="F91" s="23"/>
      <c r="G91" s="24"/>
      <c r="H91" s="39"/>
      <c r="I91" s="40"/>
      <c r="J91" s="41"/>
      <c r="K91" s="39"/>
      <c r="L91" s="40"/>
      <c r="M91" s="41"/>
      <c r="N91" s="39"/>
      <c r="O91" s="40"/>
      <c r="P91" s="41"/>
      <c r="Q91" s="39"/>
      <c r="R91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92" spans="2:18" x14ac:dyDescent="0.2">
      <c r="B92" s="29" t="s">
        <v>181</v>
      </c>
      <c r="C92" s="30" t="s">
        <v>182</v>
      </c>
      <c r="D92" s="31">
        <v>293</v>
      </c>
      <c r="E92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293</v>
      </c>
      <c r="F92" s="30"/>
      <c r="G92" s="31"/>
      <c r="H92" s="42"/>
      <c r="I92" s="43"/>
      <c r="J92" s="44"/>
      <c r="K92" s="42"/>
      <c r="L92" s="43"/>
      <c r="M92" s="44"/>
      <c r="N92" s="42"/>
      <c r="O92" s="43"/>
      <c r="P92" s="44"/>
      <c r="Q92" s="42"/>
      <c r="R92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93" spans="2:18" x14ac:dyDescent="0.2">
      <c r="B93" s="22" t="s">
        <v>183</v>
      </c>
      <c r="C93" s="23" t="s">
        <v>184</v>
      </c>
      <c r="D93" s="24"/>
      <c r="E93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0</v>
      </c>
      <c r="F93" s="23"/>
      <c r="G93" s="24"/>
      <c r="H93" s="39"/>
      <c r="I93" s="40"/>
      <c r="J93" s="41"/>
      <c r="K93" s="39"/>
      <c r="L93" s="40"/>
      <c r="M93" s="41"/>
      <c r="N93" s="39"/>
      <c r="O93" s="40"/>
      <c r="P93" s="41"/>
      <c r="Q93" s="39"/>
      <c r="R93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94" spans="2:18" x14ac:dyDescent="0.2">
      <c r="B94" s="29" t="s">
        <v>185</v>
      </c>
      <c r="C94" s="30" t="s">
        <v>186</v>
      </c>
      <c r="D94" s="31"/>
      <c r="E94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0</v>
      </c>
      <c r="F94" s="30"/>
      <c r="G94" s="31"/>
      <c r="H94" s="42"/>
      <c r="I94" s="43"/>
      <c r="J94" s="44"/>
      <c r="K94" s="42"/>
      <c r="L94" s="43"/>
      <c r="M94" s="44"/>
      <c r="N94" s="42"/>
      <c r="O94" s="43"/>
      <c r="P94" s="44"/>
      <c r="Q94" s="42"/>
      <c r="R94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95" spans="2:18" x14ac:dyDescent="0.2">
      <c r="B95" s="22" t="s">
        <v>187</v>
      </c>
      <c r="C95" s="23" t="s">
        <v>188</v>
      </c>
      <c r="D95" s="24"/>
      <c r="E95" s="25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0</v>
      </c>
      <c r="F95" s="23"/>
      <c r="G95" s="24"/>
      <c r="H95" s="39"/>
      <c r="I95" s="40"/>
      <c r="J95" s="41"/>
      <c r="K95" s="39"/>
      <c r="L95" s="40"/>
      <c r="M95" s="41"/>
      <c r="N95" s="39"/>
      <c r="O95" s="40"/>
      <c r="P95" s="41"/>
      <c r="Q95" s="39"/>
      <c r="R95" s="23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96" spans="2:18" x14ac:dyDescent="0.2">
      <c r="B96" s="29" t="s">
        <v>189</v>
      </c>
      <c r="C96" s="30" t="s">
        <v>190</v>
      </c>
      <c r="D96" s="31"/>
      <c r="E96" s="32">
        <f>Tabla1341220283846546270788694102110118126134142150134158166174182190158166174198206214222230238246254262270278286294302310318326334340348356364372380[[#This Row],[INVENTARIO INICIAL]]+Tabla1341220283846546270788694102110118126134142150134158166174182190158166174198206214222230238246254262270278286294302310318326334340348356364372380[[#This Row],[INGRESO LUNES]]-Tabla1341220283846546270788694102110118126134142150134158166174182190158166174198206214222230238246254262270278286294302310318326334340348356364372380[[#This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Row],[INGRESO MARTES]]-Tabla1341220283846546270788694102110118126134142150134158166174182190158166174198206214222230238246254262270278286294302310318326334340348356364372380[[#This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Row],[INGRESO MIERCOLES]]-Tabla1341220283846546270788694102110118126134142150134158166174182190158166174198206214222230238246254262270278286294302310318326334340348356364372380[[#This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Row],[INGRESO JUEVES]]-Tabla1341220283846546270788694102110118126134142150134158166174182190158166174198206214222230238246254262270278286294302310318326334340348356364372380[[#This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Row],[INGRESO VIERNES]]-Tabla1341220283846546270788694102110118126134142150134158166174182190158166174198206214222230238246254262270278286294302310318326334340348356364372380[[#This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 INGRESO SABADO]]-Tabla1341220283846546270788694102110118126134142150134158166174182190158166174198206214222230238246254262270278286294302310318326334340348356364372380[[#This Row],[VENTA SABADO]]</f>
        <v>0</v>
      </c>
      <c r="F96" s="30"/>
      <c r="G96" s="31"/>
      <c r="H96" s="42"/>
      <c r="I96" s="43"/>
      <c r="J96" s="44"/>
      <c r="K96" s="42"/>
      <c r="L96" s="43"/>
      <c r="M96" s="44"/>
      <c r="N96" s="42"/>
      <c r="O96" s="43"/>
      <c r="P96" s="44"/>
      <c r="Q96" s="42"/>
      <c r="R96" s="30">
        <f>Tabla1341220283846546270788694102110118126134142150134158166174182190158166174198206214222230238246254262270278286294302310318326334340348356364372380[[#This Row],[VENTA LUNES]]+Tabla1341220283846546270788694102110118126134142150134158166174182190158166174198206214222230238246254262270278286294302310318326334340348356364372380[[#This Row],[VENTA MARTES]]+Tabla1341220283846546270788694102110118126134142150134158166174182190158166174198206214222230238246254262270278286294302310318326334340348356364372380[[#This Row],[VENTA MIERCOLES]]+Tabla1341220283846546270788694102110118126134142150134158166174182190158166174198206214222230238246254262270278286294302310318326334340348356364372380[[#This Row],[VENTA JUEVES]]+Tabla1341220283846546270788694102110118126134142150134158166174182190158166174198206214222230238246254262270278286294302310318326334340348356364372380[[#This Row],[VENTA VIERNES]]+Tabla1341220283846546270788694102110118126134142150134158166174182190158166174198206214222230238246254262270278286294302310318326334340348356364372380[[#This Row],[VENTA SABADO]]</f>
        <v>0</v>
      </c>
    </row>
    <row r="98" spans="2:18" s="54" customFormat="1" ht="38.25" x14ac:dyDescent="0.2">
      <c r="B98" s="17" t="s">
        <v>191</v>
      </c>
      <c r="C98" s="17" t="s">
        <v>5</v>
      </c>
      <c r="D98" s="17" t="s">
        <v>6</v>
      </c>
      <c r="E98" s="37" t="s">
        <v>7</v>
      </c>
      <c r="F98" s="17" t="s">
        <v>8</v>
      </c>
      <c r="G98" s="17" t="s">
        <v>51</v>
      </c>
      <c r="H98" s="17" t="s">
        <v>10</v>
      </c>
      <c r="I98" s="17" t="s">
        <v>11</v>
      </c>
      <c r="J98" s="17" t="s">
        <v>12</v>
      </c>
      <c r="K98" s="17" t="s">
        <v>13</v>
      </c>
      <c r="L98" s="17" t="s">
        <v>14</v>
      </c>
      <c r="M98" s="17" t="s">
        <v>15</v>
      </c>
      <c r="N98" s="17" t="s">
        <v>16</v>
      </c>
      <c r="O98" s="17" t="s">
        <v>17</v>
      </c>
      <c r="P98" s="17" t="s">
        <v>18</v>
      </c>
      <c r="Q98" s="17" t="s">
        <v>19</v>
      </c>
      <c r="R98" s="17" t="s">
        <v>20</v>
      </c>
    </row>
    <row r="99" spans="2:18" x14ac:dyDescent="0.2">
      <c r="B99" s="22" t="s">
        <v>192</v>
      </c>
      <c r="C99" s="23" t="s">
        <v>193</v>
      </c>
      <c r="D99" s="24">
        <v>645</v>
      </c>
      <c r="E99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638</v>
      </c>
      <c r="F99" s="23"/>
      <c r="G99" s="24"/>
      <c r="H99" s="39"/>
      <c r="I99" s="40"/>
      <c r="J99" s="41"/>
      <c r="K99" s="39"/>
      <c r="L99" s="40"/>
      <c r="M99" s="41"/>
      <c r="N99" s="39"/>
      <c r="O99" s="40">
        <v>6</v>
      </c>
      <c r="P99" s="41"/>
      <c r="Q99" s="39">
        <v>1</v>
      </c>
      <c r="R99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7</v>
      </c>
    </row>
    <row r="100" spans="2:18" x14ac:dyDescent="0.2">
      <c r="B100" s="29" t="s">
        <v>194</v>
      </c>
      <c r="C100" s="30" t="s">
        <v>195</v>
      </c>
      <c r="D100" s="31">
        <v>535</v>
      </c>
      <c r="E100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525</v>
      </c>
      <c r="F100" s="30"/>
      <c r="G100" s="31"/>
      <c r="H100" s="42"/>
      <c r="I100" s="43"/>
      <c r="J100" s="44"/>
      <c r="K100" s="42"/>
      <c r="L100" s="43"/>
      <c r="M100" s="44"/>
      <c r="N100" s="42"/>
      <c r="O100" s="43">
        <v>6</v>
      </c>
      <c r="P100" s="44"/>
      <c r="Q100" s="42">
        <v>4</v>
      </c>
      <c r="R100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10</v>
      </c>
    </row>
    <row r="101" spans="2:18" x14ac:dyDescent="0.2">
      <c r="B101" s="22" t="s">
        <v>196</v>
      </c>
      <c r="C101" s="23" t="s">
        <v>197</v>
      </c>
      <c r="D101" s="24">
        <v>257</v>
      </c>
      <c r="E101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245</v>
      </c>
      <c r="F101" s="23"/>
      <c r="G101" s="24"/>
      <c r="H101" s="39"/>
      <c r="I101" s="40"/>
      <c r="J101" s="41"/>
      <c r="K101" s="39"/>
      <c r="L101" s="40"/>
      <c r="M101" s="41"/>
      <c r="N101" s="39"/>
      <c r="O101" s="40">
        <v>6</v>
      </c>
      <c r="P101" s="41"/>
      <c r="Q101" s="39">
        <v>6</v>
      </c>
      <c r="R101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12</v>
      </c>
    </row>
    <row r="102" spans="2:18" x14ac:dyDescent="0.2">
      <c r="B102" s="29" t="s">
        <v>198</v>
      </c>
      <c r="C102" s="30" t="s">
        <v>199</v>
      </c>
      <c r="D102" s="31">
        <v>651</v>
      </c>
      <c r="E102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648</v>
      </c>
      <c r="F102" s="30"/>
      <c r="G102" s="31"/>
      <c r="H102" s="42"/>
      <c r="I102" s="43"/>
      <c r="J102" s="44"/>
      <c r="K102" s="42"/>
      <c r="L102" s="43"/>
      <c r="M102" s="44"/>
      <c r="N102" s="42"/>
      <c r="O102" s="43"/>
      <c r="P102" s="44"/>
      <c r="Q102" s="42">
        <v>3</v>
      </c>
      <c r="R102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3</v>
      </c>
    </row>
    <row r="103" spans="2:18" x14ac:dyDescent="0.2">
      <c r="B103" s="22" t="s">
        <v>200</v>
      </c>
      <c r="C103" s="23" t="s">
        <v>201</v>
      </c>
      <c r="D103" s="24">
        <v>92</v>
      </c>
      <c r="E103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89</v>
      </c>
      <c r="F103" s="23">
        <v>5</v>
      </c>
      <c r="G103" s="24"/>
      <c r="H103" s="39"/>
      <c r="I103" s="40"/>
      <c r="J103" s="41"/>
      <c r="K103" s="39"/>
      <c r="L103" s="40"/>
      <c r="M103" s="41"/>
      <c r="N103" s="39"/>
      <c r="O103" s="40"/>
      <c r="P103" s="41"/>
      <c r="Q103" s="39">
        <v>8</v>
      </c>
      <c r="R103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8</v>
      </c>
    </row>
    <row r="104" spans="2:18" x14ac:dyDescent="0.2">
      <c r="B104" s="29" t="s">
        <v>202</v>
      </c>
      <c r="C104" s="30" t="s">
        <v>203</v>
      </c>
      <c r="D104" s="31">
        <v>90</v>
      </c>
      <c r="E104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82</v>
      </c>
      <c r="F104" s="30"/>
      <c r="G104" s="31"/>
      <c r="H104" s="42"/>
      <c r="I104" s="43"/>
      <c r="J104" s="44"/>
      <c r="K104" s="42"/>
      <c r="L104" s="43"/>
      <c r="M104" s="44"/>
      <c r="N104" s="42"/>
      <c r="O104" s="43"/>
      <c r="P104" s="44"/>
      <c r="Q104" s="42">
        <v>8</v>
      </c>
      <c r="R104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8</v>
      </c>
    </row>
    <row r="105" spans="2:18" x14ac:dyDescent="0.2">
      <c r="B105" s="22" t="s">
        <v>204</v>
      </c>
      <c r="C105" s="23" t="s">
        <v>205</v>
      </c>
      <c r="D105" s="24">
        <v>275</v>
      </c>
      <c r="E105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275</v>
      </c>
      <c r="F105" s="23"/>
      <c r="G105" s="24"/>
      <c r="H105" s="39"/>
      <c r="I105" s="40"/>
      <c r="J105" s="41"/>
      <c r="K105" s="39"/>
      <c r="L105" s="40"/>
      <c r="M105" s="41"/>
      <c r="N105" s="39"/>
      <c r="O105" s="40"/>
      <c r="P105" s="41"/>
      <c r="Q105" s="39"/>
      <c r="R105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06" spans="2:18" x14ac:dyDescent="0.2">
      <c r="B106" s="29" t="s">
        <v>206</v>
      </c>
      <c r="C106" s="30" t="s">
        <v>207</v>
      </c>
      <c r="D106" s="31">
        <v>487</v>
      </c>
      <c r="E106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487</v>
      </c>
      <c r="F106" s="30"/>
      <c r="G106" s="31"/>
      <c r="H106" s="42"/>
      <c r="I106" s="43"/>
      <c r="J106" s="44"/>
      <c r="K106" s="42"/>
      <c r="L106" s="43"/>
      <c r="M106" s="44"/>
      <c r="N106" s="42"/>
      <c r="O106" s="43"/>
      <c r="P106" s="44"/>
      <c r="Q106" s="42"/>
      <c r="R106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07" spans="2:18" x14ac:dyDescent="0.2">
      <c r="B107" s="22" t="s">
        <v>208</v>
      </c>
      <c r="C107" s="23" t="s">
        <v>209</v>
      </c>
      <c r="D107" s="24">
        <v>476</v>
      </c>
      <c r="E107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476</v>
      </c>
      <c r="F107" s="23"/>
      <c r="G107" s="24"/>
      <c r="H107" s="39"/>
      <c r="I107" s="40"/>
      <c r="J107" s="41"/>
      <c r="K107" s="39"/>
      <c r="L107" s="40"/>
      <c r="M107" s="41"/>
      <c r="N107" s="39"/>
      <c r="O107" s="40"/>
      <c r="P107" s="41"/>
      <c r="Q107" s="39"/>
      <c r="R107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08" spans="2:18" x14ac:dyDescent="0.2">
      <c r="B108" s="29" t="s">
        <v>210</v>
      </c>
      <c r="C108" s="30" t="s">
        <v>211</v>
      </c>
      <c r="D108" s="31">
        <v>490</v>
      </c>
      <c r="E108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490</v>
      </c>
      <c r="F108" s="30"/>
      <c r="G108" s="31"/>
      <c r="H108" s="42"/>
      <c r="I108" s="43"/>
      <c r="J108" s="44"/>
      <c r="K108" s="42"/>
      <c r="L108" s="43"/>
      <c r="M108" s="44"/>
      <c r="N108" s="42"/>
      <c r="O108" s="43"/>
      <c r="P108" s="44"/>
      <c r="Q108" s="42"/>
      <c r="R108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09" spans="2:18" ht="12.75" customHeight="1" x14ac:dyDescent="0.2">
      <c r="B109" s="22" t="s">
        <v>212</v>
      </c>
      <c r="C109" s="23" t="s">
        <v>213</v>
      </c>
      <c r="D109" s="24">
        <v>286</v>
      </c>
      <c r="E109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286</v>
      </c>
      <c r="F109" s="23"/>
      <c r="G109" s="24"/>
      <c r="H109" s="39"/>
      <c r="I109" s="40"/>
      <c r="J109" s="41"/>
      <c r="K109" s="39"/>
      <c r="L109" s="40"/>
      <c r="M109" s="41"/>
      <c r="N109" s="39"/>
      <c r="O109" s="40"/>
      <c r="P109" s="41"/>
      <c r="Q109" s="39"/>
      <c r="R109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10" spans="2:18" x14ac:dyDescent="0.2">
      <c r="B110" s="29" t="s">
        <v>214</v>
      </c>
      <c r="C110" s="30" t="s">
        <v>215</v>
      </c>
      <c r="D110" s="31">
        <v>53</v>
      </c>
      <c r="E110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53</v>
      </c>
      <c r="F110" s="30"/>
      <c r="G110" s="31"/>
      <c r="H110" s="42"/>
      <c r="I110" s="43"/>
      <c r="J110" s="44"/>
      <c r="K110" s="42"/>
      <c r="L110" s="43"/>
      <c r="M110" s="44"/>
      <c r="N110" s="42"/>
      <c r="O110" s="43"/>
      <c r="P110" s="44"/>
      <c r="Q110" s="42"/>
      <c r="R110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11" spans="2:18" x14ac:dyDescent="0.2">
      <c r="B111" s="22" t="s">
        <v>216</v>
      </c>
      <c r="C111" s="23" t="s">
        <v>217</v>
      </c>
      <c r="D111" s="24">
        <v>129</v>
      </c>
      <c r="E111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123</v>
      </c>
      <c r="F111" s="23"/>
      <c r="G111" s="24"/>
      <c r="H111" s="39"/>
      <c r="I111" s="40"/>
      <c r="J111" s="41"/>
      <c r="K111" s="39"/>
      <c r="L111" s="40"/>
      <c r="M111" s="41"/>
      <c r="N111" s="39"/>
      <c r="O111" s="40">
        <v>5</v>
      </c>
      <c r="P111" s="41"/>
      <c r="Q111" s="39">
        <v>1</v>
      </c>
      <c r="R111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6</v>
      </c>
    </row>
    <row r="112" spans="2:18" x14ac:dyDescent="0.2">
      <c r="B112" s="29" t="s">
        <v>218</v>
      </c>
      <c r="C112" s="30" t="s">
        <v>219</v>
      </c>
      <c r="D112" s="31">
        <v>532</v>
      </c>
      <c r="E112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524</v>
      </c>
      <c r="F112" s="30"/>
      <c r="G112" s="31"/>
      <c r="H112" s="42"/>
      <c r="I112" s="43"/>
      <c r="J112" s="44"/>
      <c r="K112" s="42"/>
      <c r="L112" s="43"/>
      <c r="M112" s="44"/>
      <c r="N112" s="42"/>
      <c r="O112" s="43">
        <v>5</v>
      </c>
      <c r="P112" s="44"/>
      <c r="Q112" s="42">
        <v>3</v>
      </c>
      <c r="R112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8</v>
      </c>
    </row>
    <row r="113" spans="2:18" x14ac:dyDescent="0.2">
      <c r="B113" s="22" t="s">
        <v>220</v>
      </c>
      <c r="C113" s="23" t="s">
        <v>221</v>
      </c>
      <c r="D113" s="24">
        <v>509</v>
      </c>
      <c r="E113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500</v>
      </c>
      <c r="F113" s="23"/>
      <c r="G113" s="24"/>
      <c r="H113" s="39"/>
      <c r="I113" s="40"/>
      <c r="J113" s="41"/>
      <c r="K113" s="39"/>
      <c r="L113" s="40"/>
      <c r="M113" s="41"/>
      <c r="N113" s="39"/>
      <c r="O113" s="40">
        <v>5</v>
      </c>
      <c r="P113" s="41"/>
      <c r="Q113" s="39">
        <v>4</v>
      </c>
      <c r="R113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9</v>
      </c>
    </row>
    <row r="114" spans="2:18" x14ac:dyDescent="0.2">
      <c r="B114" s="29" t="s">
        <v>222</v>
      </c>
      <c r="C114" s="30" t="s">
        <v>223</v>
      </c>
      <c r="D114" s="31">
        <v>163</v>
      </c>
      <c r="E114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157</v>
      </c>
      <c r="F114" s="30"/>
      <c r="G114" s="31"/>
      <c r="H114" s="42"/>
      <c r="I114" s="43"/>
      <c r="J114" s="44"/>
      <c r="K114" s="42"/>
      <c r="L114" s="43"/>
      <c r="M114" s="44"/>
      <c r="N114" s="42"/>
      <c r="O114" s="43">
        <v>4</v>
      </c>
      <c r="P114" s="44"/>
      <c r="Q114" s="42">
        <v>2</v>
      </c>
      <c r="R114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6</v>
      </c>
    </row>
    <row r="115" spans="2:18" x14ac:dyDescent="0.2">
      <c r="B115" s="22" t="s">
        <v>224</v>
      </c>
      <c r="C115" s="23" t="s">
        <v>225</v>
      </c>
      <c r="D115" s="24">
        <v>475</v>
      </c>
      <c r="E115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472</v>
      </c>
      <c r="F115" s="23"/>
      <c r="G115" s="24"/>
      <c r="H115" s="39"/>
      <c r="I115" s="40"/>
      <c r="J115" s="41"/>
      <c r="K115" s="39"/>
      <c r="L115" s="40"/>
      <c r="M115" s="41"/>
      <c r="N115" s="39"/>
      <c r="O115" s="40">
        <v>1</v>
      </c>
      <c r="P115" s="41"/>
      <c r="Q115" s="39">
        <v>2</v>
      </c>
      <c r="R115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3</v>
      </c>
    </row>
    <row r="116" spans="2:18" x14ac:dyDescent="0.2">
      <c r="B116" s="29" t="s">
        <v>226</v>
      </c>
      <c r="C116" s="30" t="s">
        <v>227</v>
      </c>
      <c r="D116" s="31">
        <v>207</v>
      </c>
      <c r="E116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201</v>
      </c>
      <c r="F116" s="30"/>
      <c r="G116" s="31"/>
      <c r="H116" s="42"/>
      <c r="I116" s="43"/>
      <c r="J116" s="44"/>
      <c r="K116" s="42"/>
      <c r="L116" s="43"/>
      <c r="M116" s="44"/>
      <c r="N116" s="42"/>
      <c r="O116" s="43">
        <v>2</v>
      </c>
      <c r="P116" s="44"/>
      <c r="Q116" s="42">
        <v>4</v>
      </c>
      <c r="R116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6</v>
      </c>
    </row>
    <row r="117" spans="2:18" x14ac:dyDescent="0.2">
      <c r="B117" s="22" t="s">
        <v>228</v>
      </c>
      <c r="C117" s="23" t="s">
        <v>229</v>
      </c>
      <c r="D117" s="24">
        <v>454</v>
      </c>
      <c r="E117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450</v>
      </c>
      <c r="F117" s="23"/>
      <c r="G117" s="24"/>
      <c r="H117" s="39"/>
      <c r="I117" s="40"/>
      <c r="J117" s="41"/>
      <c r="K117" s="39"/>
      <c r="L117" s="40"/>
      <c r="M117" s="41"/>
      <c r="N117" s="39"/>
      <c r="O117" s="40"/>
      <c r="P117" s="41"/>
      <c r="Q117" s="39">
        <v>4</v>
      </c>
      <c r="R117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4</v>
      </c>
    </row>
    <row r="118" spans="2:18" x14ac:dyDescent="0.2">
      <c r="B118" s="29" t="s">
        <v>230</v>
      </c>
      <c r="C118" s="30" t="s">
        <v>231</v>
      </c>
      <c r="D118" s="31">
        <v>344</v>
      </c>
      <c r="E118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332</v>
      </c>
      <c r="F118" s="30"/>
      <c r="G118" s="31"/>
      <c r="H118" s="42"/>
      <c r="I118" s="43"/>
      <c r="J118" s="44"/>
      <c r="K118" s="42"/>
      <c r="L118" s="43"/>
      <c r="M118" s="44"/>
      <c r="N118" s="42"/>
      <c r="O118" s="43"/>
      <c r="P118" s="44"/>
      <c r="Q118" s="42">
        <v>12</v>
      </c>
      <c r="R118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12</v>
      </c>
    </row>
    <row r="119" spans="2:18" ht="12" customHeight="1" x14ac:dyDescent="0.2">
      <c r="B119" s="22" t="s">
        <v>232</v>
      </c>
      <c r="C119" s="23" t="s">
        <v>233</v>
      </c>
      <c r="D119" s="24">
        <v>291</v>
      </c>
      <c r="E119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287</v>
      </c>
      <c r="F119" s="23"/>
      <c r="G119" s="24"/>
      <c r="H119" s="39"/>
      <c r="I119" s="40"/>
      <c r="J119" s="41"/>
      <c r="K119" s="39"/>
      <c r="L119" s="40"/>
      <c r="M119" s="41"/>
      <c r="N119" s="39"/>
      <c r="O119" s="40"/>
      <c r="P119" s="41"/>
      <c r="Q119" s="39">
        <v>4</v>
      </c>
      <c r="R119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4</v>
      </c>
    </row>
    <row r="120" spans="2:18" x14ac:dyDescent="0.2">
      <c r="B120" s="29" t="s">
        <v>234</v>
      </c>
      <c r="C120" s="30" t="s">
        <v>235</v>
      </c>
      <c r="D120" s="31">
        <v>508</v>
      </c>
      <c r="E120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493</v>
      </c>
      <c r="F120" s="30"/>
      <c r="G120" s="31"/>
      <c r="H120" s="42"/>
      <c r="I120" s="43"/>
      <c r="J120" s="44"/>
      <c r="K120" s="42"/>
      <c r="L120" s="43"/>
      <c r="M120" s="44"/>
      <c r="N120" s="42"/>
      <c r="O120" s="43">
        <v>6</v>
      </c>
      <c r="P120" s="44"/>
      <c r="Q120" s="42">
        <v>9</v>
      </c>
      <c r="R120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15</v>
      </c>
    </row>
    <row r="121" spans="2:18" x14ac:dyDescent="0.2">
      <c r="B121" s="22" t="s">
        <v>236</v>
      </c>
      <c r="C121" s="23" t="s">
        <v>237</v>
      </c>
      <c r="D121" s="24">
        <v>711</v>
      </c>
      <c r="E121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694</v>
      </c>
      <c r="F121" s="23"/>
      <c r="G121" s="24"/>
      <c r="H121" s="39"/>
      <c r="I121" s="40"/>
      <c r="J121" s="41"/>
      <c r="K121" s="39"/>
      <c r="L121" s="40"/>
      <c r="M121" s="41"/>
      <c r="N121" s="39"/>
      <c r="O121" s="40">
        <v>6</v>
      </c>
      <c r="P121" s="41"/>
      <c r="Q121" s="39">
        <v>11</v>
      </c>
      <c r="R121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17</v>
      </c>
    </row>
    <row r="122" spans="2:18" x14ac:dyDescent="0.2">
      <c r="B122" s="29" t="s">
        <v>238</v>
      </c>
      <c r="C122" s="30" t="s">
        <v>239</v>
      </c>
      <c r="D122" s="31">
        <v>906</v>
      </c>
      <c r="E122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891</v>
      </c>
      <c r="F122" s="30"/>
      <c r="G122" s="31"/>
      <c r="H122" s="42"/>
      <c r="I122" s="43"/>
      <c r="J122" s="44"/>
      <c r="K122" s="42"/>
      <c r="L122" s="43"/>
      <c r="M122" s="44"/>
      <c r="N122" s="42"/>
      <c r="O122" s="43">
        <v>9</v>
      </c>
      <c r="P122" s="44"/>
      <c r="Q122" s="42">
        <v>6</v>
      </c>
      <c r="R122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15</v>
      </c>
    </row>
    <row r="123" spans="2:18" x14ac:dyDescent="0.2">
      <c r="B123" s="22" t="s">
        <v>240</v>
      </c>
      <c r="C123" s="23" t="s">
        <v>241</v>
      </c>
      <c r="D123" s="24">
        <v>400</v>
      </c>
      <c r="E123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400</v>
      </c>
      <c r="F123" s="23"/>
      <c r="G123" s="24"/>
      <c r="H123" s="39"/>
      <c r="I123" s="40"/>
      <c r="J123" s="41"/>
      <c r="K123" s="39"/>
      <c r="L123" s="40"/>
      <c r="M123" s="41"/>
      <c r="N123" s="39"/>
      <c r="O123" s="40"/>
      <c r="P123" s="41"/>
      <c r="Q123" s="39"/>
      <c r="R123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24" spans="2:18" x14ac:dyDescent="0.2">
      <c r="B124" s="29" t="s">
        <v>242</v>
      </c>
      <c r="C124" s="30" t="s">
        <v>243</v>
      </c>
      <c r="D124" s="31">
        <v>367</v>
      </c>
      <c r="E124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367</v>
      </c>
      <c r="F124" s="30"/>
      <c r="G124" s="31"/>
      <c r="H124" s="42"/>
      <c r="I124" s="43"/>
      <c r="J124" s="44"/>
      <c r="K124" s="42"/>
      <c r="L124" s="43"/>
      <c r="M124" s="44"/>
      <c r="N124" s="42"/>
      <c r="O124" s="43"/>
      <c r="P124" s="44"/>
      <c r="Q124" s="42"/>
      <c r="R124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25" spans="2:18" x14ac:dyDescent="0.2">
      <c r="B125" s="22" t="s">
        <v>244</v>
      </c>
      <c r="C125" s="23" t="s">
        <v>245</v>
      </c>
      <c r="D125" s="24">
        <v>548</v>
      </c>
      <c r="E125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548</v>
      </c>
      <c r="F125" s="23"/>
      <c r="G125" s="24"/>
      <c r="H125" s="39"/>
      <c r="I125" s="40"/>
      <c r="J125" s="41"/>
      <c r="K125" s="39"/>
      <c r="L125" s="40"/>
      <c r="M125" s="41"/>
      <c r="N125" s="39"/>
      <c r="O125" s="40"/>
      <c r="P125" s="41"/>
      <c r="Q125" s="39"/>
      <c r="R125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26" spans="2:18" x14ac:dyDescent="0.2">
      <c r="B126" s="29" t="s">
        <v>246</v>
      </c>
      <c r="C126" s="30" t="s">
        <v>247</v>
      </c>
      <c r="D126" s="31">
        <v>432</v>
      </c>
      <c r="E126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432</v>
      </c>
      <c r="F126" s="30"/>
      <c r="G126" s="31"/>
      <c r="H126" s="42"/>
      <c r="I126" s="43"/>
      <c r="J126" s="44"/>
      <c r="K126" s="42"/>
      <c r="L126" s="43"/>
      <c r="M126" s="44"/>
      <c r="N126" s="42"/>
      <c r="O126" s="43"/>
      <c r="P126" s="44"/>
      <c r="Q126" s="42"/>
      <c r="R126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27" spans="2:18" x14ac:dyDescent="0.2">
      <c r="B127" s="22" t="s">
        <v>248</v>
      </c>
      <c r="C127" s="23" t="s">
        <v>249</v>
      </c>
      <c r="D127" s="24">
        <v>375</v>
      </c>
      <c r="E127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375</v>
      </c>
      <c r="F127" s="23"/>
      <c r="G127" s="24"/>
      <c r="H127" s="39"/>
      <c r="I127" s="40"/>
      <c r="J127" s="41"/>
      <c r="K127" s="39"/>
      <c r="L127" s="40"/>
      <c r="M127" s="41"/>
      <c r="N127" s="39"/>
      <c r="O127" s="40"/>
      <c r="P127" s="41"/>
      <c r="Q127" s="39"/>
      <c r="R127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28" spans="2:18" x14ac:dyDescent="0.2">
      <c r="B128" s="29" t="s">
        <v>250</v>
      </c>
      <c r="C128" s="30" t="s">
        <v>251</v>
      </c>
      <c r="D128" s="31">
        <v>512</v>
      </c>
      <c r="E128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512</v>
      </c>
      <c r="F128" s="30"/>
      <c r="G128" s="31"/>
      <c r="H128" s="42"/>
      <c r="I128" s="43"/>
      <c r="J128" s="44"/>
      <c r="K128" s="42"/>
      <c r="L128" s="43"/>
      <c r="M128" s="44"/>
      <c r="N128" s="42"/>
      <c r="O128" s="43"/>
      <c r="P128" s="44"/>
      <c r="Q128" s="42"/>
      <c r="R128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0</v>
      </c>
    </row>
    <row r="129" spans="2:18" x14ac:dyDescent="0.2">
      <c r="B129" s="22" t="s">
        <v>252</v>
      </c>
      <c r="C129" s="23" t="s">
        <v>253</v>
      </c>
      <c r="D129" s="24">
        <v>446</v>
      </c>
      <c r="E129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439</v>
      </c>
      <c r="F129" s="23"/>
      <c r="G129" s="24"/>
      <c r="H129" s="39"/>
      <c r="I129" s="40"/>
      <c r="J129" s="41"/>
      <c r="K129" s="39"/>
      <c r="L129" s="40"/>
      <c r="M129" s="41"/>
      <c r="N129" s="39"/>
      <c r="O129" s="40">
        <v>2</v>
      </c>
      <c r="P129" s="41"/>
      <c r="Q129" s="39">
        <v>5</v>
      </c>
      <c r="R129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7</v>
      </c>
    </row>
    <row r="130" spans="2:18" x14ac:dyDescent="0.2">
      <c r="B130" s="29" t="s">
        <v>254</v>
      </c>
      <c r="C130" s="30" t="s">
        <v>255</v>
      </c>
      <c r="D130" s="31">
        <v>267</v>
      </c>
      <c r="E130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255</v>
      </c>
      <c r="F130" s="30"/>
      <c r="G130" s="31"/>
      <c r="H130" s="42"/>
      <c r="I130" s="43"/>
      <c r="J130" s="44"/>
      <c r="K130" s="42"/>
      <c r="L130" s="43"/>
      <c r="M130" s="44"/>
      <c r="N130" s="42"/>
      <c r="O130" s="43">
        <v>8</v>
      </c>
      <c r="P130" s="44"/>
      <c r="Q130" s="42">
        <v>4</v>
      </c>
      <c r="R130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12</v>
      </c>
    </row>
    <row r="131" spans="2:18" x14ac:dyDescent="0.2">
      <c r="B131" s="22" t="s">
        <v>256</v>
      </c>
      <c r="C131" s="23" t="s">
        <v>257</v>
      </c>
      <c r="D131" s="24">
        <v>512</v>
      </c>
      <c r="E131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506</v>
      </c>
      <c r="F131" s="23"/>
      <c r="G131" s="24"/>
      <c r="H131" s="39"/>
      <c r="I131" s="40"/>
      <c r="J131" s="41"/>
      <c r="K131" s="39"/>
      <c r="L131" s="40"/>
      <c r="M131" s="41"/>
      <c r="N131" s="39"/>
      <c r="O131" s="40">
        <v>1</v>
      </c>
      <c r="P131" s="41"/>
      <c r="Q131" s="39">
        <v>5</v>
      </c>
      <c r="R131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6</v>
      </c>
    </row>
    <row r="132" spans="2:18" x14ac:dyDescent="0.2">
      <c r="B132" s="29" t="s">
        <v>258</v>
      </c>
      <c r="C132" s="30" t="s">
        <v>259</v>
      </c>
      <c r="D132" s="31">
        <v>212</v>
      </c>
      <c r="E132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206</v>
      </c>
      <c r="F132" s="30"/>
      <c r="G132" s="31"/>
      <c r="H132" s="42"/>
      <c r="I132" s="43"/>
      <c r="J132" s="44"/>
      <c r="K132" s="42"/>
      <c r="L132" s="43"/>
      <c r="M132" s="44"/>
      <c r="N132" s="42"/>
      <c r="O132" s="43">
        <v>2</v>
      </c>
      <c r="P132" s="44"/>
      <c r="Q132" s="42">
        <v>4</v>
      </c>
      <c r="R132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6</v>
      </c>
    </row>
    <row r="133" spans="2:18" x14ac:dyDescent="0.2">
      <c r="B133" s="22" t="s">
        <v>260</v>
      </c>
      <c r="C133" s="23" t="s">
        <v>261</v>
      </c>
      <c r="D133" s="24">
        <v>186</v>
      </c>
      <c r="E133" s="25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184</v>
      </c>
      <c r="F133" s="23"/>
      <c r="G133" s="24"/>
      <c r="H133" s="39"/>
      <c r="I133" s="40"/>
      <c r="J133" s="41"/>
      <c r="K133" s="39"/>
      <c r="L133" s="40"/>
      <c r="M133" s="41"/>
      <c r="N133" s="39"/>
      <c r="O133" s="40">
        <v>2</v>
      </c>
      <c r="P133" s="41"/>
      <c r="Q133" s="39"/>
      <c r="R133" s="23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2</v>
      </c>
    </row>
    <row r="134" spans="2:18" x14ac:dyDescent="0.2">
      <c r="B134" s="29" t="s">
        <v>262</v>
      </c>
      <c r="C134" s="30" t="s">
        <v>263</v>
      </c>
      <c r="D134" s="31">
        <v>344</v>
      </c>
      <c r="E134" s="32">
        <f>Tabla13461321293947556371798795103111119127135143151135159167175183191159167175199207215223231239247255263271279287295303311319327335341349357365373381[[#This Row],[INVENTARIO INICIAL]]+Tabla13461321293947556371798795103111119127135143151135159167175183191159167175199207215223231239247255263271279287295303311319327335341349357365373381[[#This Row],[INGRESO LUNES]]-Tabla13461321293947556371798795103111119127135143151135159167175183191159167175199207215223231239247255263271279287295303311319327335341349357365373381[[#This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Row],[INGRESO MARTES]]-Tabla13461321293947556371798795103111119127135143151135159167175183191159167175199207215223231239247255263271279287295303311319327335341349357365373381[[#This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Row],[INGRESO MIERCOLES]]-Tabla13461321293947556371798795103111119127135143151135159167175183191159167175199207215223231239247255263271279287295303311319327335341349357365373381[[#This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Row],[INGRESO JUEVES]]-Tabla13461321293947556371798795103111119127135143151135159167175183191159167175199207215223231239247255263271279287295303311319327335341349357365373381[[#This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Row],[INGRESO VIERNES]]-Tabla13461321293947556371798795103111119127135143151135159167175183191159167175199207215223231239247255263271279287295303311319327335341349357365373381[[#This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 INGRESO SABADO]]-Tabla13461321293947556371798795103111119127135143151135159167175183191159167175199207215223231239247255263271279287295303311319327335341349357365373381[[#This Row],[VENTA SABADO]]</f>
        <v>336</v>
      </c>
      <c r="F134" s="30"/>
      <c r="G134" s="31"/>
      <c r="H134" s="42"/>
      <c r="I134" s="43"/>
      <c r="J134" s="44"/>
      <c r="K134" s="42"/>
      <c r="L134" s="43"/>
      <c r="M134" s="44"/>
      <c r="N134" s="42"/>
      <c r="O134" s="43">
        <v>2</v>
      </c>
      <c r="P134" s="44"/>
      <c r="Q134" s="42">
        <v>6</v>
      </c>
      <c r="R134" s="30">
        <f>Tabla13461321293947556371798795103111119127135143151135159167175183191159167175199207215223231239247255263271279287295303311319327335341349357365373381[[#This Row],[VENTA LUNES]]+Tabla13461321293947556371798795103111119127135143151135159167175183191159167175199207215223231239247255263271279287295303311319327335341349357365373381[[#This Row],[VENTA MARTES]]+Tabla13461321293947556371798795103111119127135143151135159167175183191159167175199207215223231239247255263271279287295303311319327335341349357365373381[[#This Row],[VENTA MIERCOLES]]+Tabla13461321293947556371798795103111119127135143151135159167175183191159167175199207215223231239247255263271279287295303311319327335341349357365373381[[#This Row],[VENTA JUEVES]]+Tabla13461321293947556371798795103111119127135143151135159167175183191159167175199207215223231239247255263271279287295303311319327335341349357365373381[[#This Row],[VENTA VIERNES]]+Tabla13461321293947556371798795103111119127135143151135159167175183191159167175199207215223231239247255263271279287295303311319327335341349357365373381[[#This Row],[VENTA SABADO]]</f>
        <v>8</v>
      </c>
    </row>
    <row r="136" spans="2:18" s="54" customFormat="1" ht="38.25" x14ac:dyDescent="0.2">
      <c r="B136" s="17" t="s">
        <v>264</v>
      </c>
      <c r="C136" s="17" t="s">
        <v>5</v>
      </c>
      <c r="D136" s="17" t="s">
        <v>6</v>
      </c>
      <c r="E136" s="37" t="s">
        <v>7</v>
      </c>
      <c r="F136" s="17" t="s">
        <v>8</v>
      </c>
      <c r="G136" s="17" t="s">
        <v>51</v>
      </c>
      <c r="H136" s="17" t="s">
        <v>10</v>
      </c>
      <c r="I136" s="17" t="s">
        <v>11</v>
      </c>
      <c r="J136" s="17" t="s">
        <v>12</v>
      </c>
      <c r="K136" s="17" t="s">
        <v>13</v>
      </c>
      <c r="L136" s="17" t="s">
        <v>14</v>
      </c>
      <c r="M136" s="17" t="s">
        <v>15</v>
      </c>
      <c r="N136" s="17" t="s">
        <v>16</v>
      </c>
      <c r="O136" s="17" t="s">
        <v>17</v>
      </c>
      <c r="P136" s="17" t="s">
        <v>18</v>
      </c>
      <c r="Q136" s="17" t="s">
        <v>19</v>
      </c>
      <c r="R136" s="17" t="s">
        <v>20</v>
      </c>
    </row>
    <row r="137" spans="2:18" x14ac:dyDescent="0.2">
      <c r="B137" s="22" t="s">
        <v>216</v>
      </c>
      <c r="C137" s="23" t="s">
        <v>265</v>
      </c>
      <c r="D137" s="24">
        <v>550</v>
      </c>
      <c r="E137" s="25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550</v>
      </c>
      <c r="F137" s="23"/>
      <c r="G137" s="24"/>
      <c r="H137" s="39"/>
      <c r="I137" s="40"/>
      <c r="J137" s="41"/>
      <c r="K137" s="39"/>
      <c r="L137" s="40"/>
      <c r="M137" s="41"/>
      <c r="N137" s="39"/>
      <c r="O137" s="40"/>
      <c r="P137" s="41"/>
      <c r="Q137" s="39"/>
      <c r="R137" s="23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0</v>
      </c>
    </row>
    <row r="138" spans="2:18" x14ac:dyDescent="0.2">
      <c r="B138" s="29" t="s">
        <v>218</v>
      </c>
      <c r="C138" s="30" t="s">
        <v>266</v>
      </c>
      <c r="D138" s="31">
        <v>378</v>
      </c>
      <c r="E138" s="32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377</v>
      </c>
      <c r="F138" s="30"/>
      <c r="G138" s="31"/>
      <c r="H138" s="42"/>
      <c r="I138" s="43"/>
      <c r="J138" s="44"/>
      <c r="K138" s="42"/>
      <c r="L138" s="43"/>
      <c r="M138" s="44"/>
      <c r="N138" s="42"/>
      <c r="O138" s="43"/>
      <c r="P138" s="44"/>
      <c r="Q138" s="42">
        <v>1</v>
      </c>
      <c r="R138" s="30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1</v>
      </c>
    </row>
    <row r="139" spans="2:18" x14ac:dyDescent="0.2">
      <c r="B139" s="22" t="s">
        <v>267</v>
      </c>
      <c r="C139" s="23" t="s">
        <v>268</v>
      </c>
      <c r="D139" s="24">
        <v>135</v>
      </c>
      <c r="E139" s="25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133</v>
      </c>
      <c r="F139" s="23"/>
      <c r="G139" s="24"/>
      <c r="H139" s="39"/>
      <c r="I139" s="40"/>
      <c r="J139" s="41"/>
      <c r="K139" s="39"/>
      <c r="L139" s="40"/>
      <c r="M139" s="41"/>
      <c r="N139" s="39"/>
      <c r="O139" s="40"/>
      <c r="P139" s="41"/>
      <c r="Q139" s="39">
        <v>2</v>
      </c>
      <c r="R139" s="23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2</v>
      </c>
    </row>
    <row r="140" spans="2:18" x14ac:dyDescent="0.2">
      <c r="B140" s="29" t="s">
        <v>269</v>
      </c>
      <c r="C140" s="30" t="s">
        <v>270</v>
      </c>
      <c r="D140" s="31">
        <v>751</v>
      </c>
      <c r="E140" s="32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749</v>
      </c>
      <c r="F140" s="30"/>
      <c r="G140" s="31"/>
      <c r="H140" s="42"/>
      <c r="I140" s="43"/>
      <c r="J140" s="44"/>
      <c r="K140" s="42"/>
      <c r="L140" s="43"/>
      <c r="M140" s="44"/>
      <c r="N140" s="42"/>
      <c r="O140" s="43"/>
      <c r="P140" s="44"/>
      <c r="Q140" s="42">
        <v>2</v>
      </c>
      <c r="R140" s="30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2</v>
      </c>
    </row>
    <row r="141" spans="2:18" x14ac:dyDescent="0.2">
      <c r="B141" s="22" t="s">
        <v>224</v>
      </c>
      <c r="C141" s="23" t="s">
        <v>271</v>
      </c>
      <c r="D141" s="24">
        <v>312</v>
      </c>
      <c r="E141" s="25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305</v>
      </c>
      <c r="F141" s="23"/>
      <c r="G141" s="24"/>
      <c r="H141" s="39"/>
      <c r="I141" s="40"/>
      <c r="J141" s="41"/>
      <c r="K141" s="39"/>
      <c r="L141" s="40"/>
      <c r="M141" s="41"/>
      <c r="N141" s="39"/>
      <c r="O141" s="40"/>
      <c r="P141" s="41"/>
      <c r="Q141" s="39">
        <v>7</v>
      </c>
      <c r="R141" s="23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7</v>
      </c>
    </row>
    <row r="142" spans="2:18" x14ac:dyDescent="0.2">
      <c r="B142" s="29" t="s">
        <v>272</v>
      </c>
      <c r="C142" s="30" t="s">
        <v>273</v>
      </c>
      <c r="D142" s="31">
        <v>494</v>
      </c>
      <c r="E142" s="32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494</v>
      </c>
      <c r="F142" s="30"/>
      <c r="G142" s="31"/>
      <c r="H142" s="42"/>
      <c r="I142" s="43"/>
      <c r="J142" s="44"/>
      <c r="K142" s="42"/>
      <c r="L142" s="43"/>
      <c r="M142" s="44"/>
      <c r="N142" s="42"/>
      <c r="O142" s="43"/>
      <c r="P142" s="44"/>
      <c r="Q142" s="42"/>
      <c r="R142" s="30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0</v>
      </c>
    </row>
    <row r="143" spans="2:18" x14ac:dyDescent="0.2">
      <c r="B143" s="22" t="s">
        <v>204</v>
      </c>
      <c r="C143" s="23" t="s">
        <v>274</v>
      </c>
      <c r="D143" s="24">
        <v>311</v>
      </c>
      <c r="E143" s="25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306</v>
      </c>
      <c r="F143" s="23"/>
      <c r="G143" s="24"/>
      <c r="H143" s="39"/>
      <c r="I143" s="40"/>
      <c r="J143" s="41"/>
      <c r="K143" s="39"/>
      <c r="L143" s="40"/>
      <c r="M143" s="41"/>
      <c r="N143" s="39"/>
      <c r="O143" s="40"/>
      <c r="P143" s="41"/>
      <c r="Q143" s="39">
        <v>5</v>
      </c>
      <c r="R143" s="23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5</v>
      </c>
    </row>
    <row r="144" spans="2:18" x14ac:dyDescent="0.2">
      <c r="B144" s="29" t="s">
        <v>206</v>
      </c>
      <c r="C144" s="30" t="s">
        <v>275</v>
      </c>
      <c r="D144" s="31">
        <v>351</v>
      </c>
      <c r="E144" s="32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351</v>
      </c>
      <c r="F144" s="30"/>
      <c r="G144" s="31"/>
      <c r="H144" s="42"/>
      <c r="I144" s="43"/>
      <c r="J144" s="44"/>
      <c r="K144" s="42"/>
      <c r="L144" s="43"/>
      <c r="M144" s="44"/>
      <c r="N144" s="42"/>
      <c r="O144" s="43"/>
      <c r="P144" s="44"/>
      <c r="Q144" s="42"/>
      <c r="R144" s="30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0</v>
      </c>
    </row>
    <row r="145" spans="1:18" x14ac:dyDescent="0.2">
      <c r="B145" s="22" t="s">
        <v>276</v>
      </c>
      <c r="C145" s="23" t="s">
        <v>277</v>
      </c>
      <c r="D145" s="24">
        <v>509</v>
      </c>
      <c r="E145" s="25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509</v>
      </c>
      <c r="F145" s="23"/>
      <c r="G145" s="24"/>
      <c r="H145" s="39"/>
      <c r="I145" s="40"/>
      <c r="J145" s="41"/>
      <c r="K145" s="39"/>
      <c r="L145" s="40"/>
      <c r="M145" s="41"/>
      <c r="N145" s="39"/>
      <c r="O145" s="40"/>
      <c r="P145" s="41"/>
      <c r="Q145" s="39"/>
      <c r="R145" s="23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0</v>
      </c>
    </row>
    <row r="146" spans="1:18" x14ac:dyDescent="0.2">
      <c r="B146" s="29" t="s">
        <v>278</v>
      </c>
      <c r="C146" s="30" t="s">
        <v>279</v>
      </c>
      <c r="D146" s="31">
        <v>262</v>
      </c>
      <c r="E146" s="32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262</v>
      </c>
      <c r="F146" s="30"/>
      <c r="G146" s="31"/>
      <c r="H146" s="42"/>
      <c r="I146" s="43"/>
      <c r="J146" s="44"/>
      <c r="K146" s="42"/>
      <c r="L146" s="43"/>
      <c r="M146" s="44"/>
      <c r="N146" s="42"/>
      <c r="O146" s="43"/>
      <c r="P146" s="44"/>
      <c r="Q146" s="42"/>
      <c r="R146" s="30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0</v>
      </c>
    </row>
    <row r="147" spans="1:18" x14ac:dyDescent="0.2">
      <c r="B147" s="22" t="s">
        <v>280</v>
      </c>
      <c r="C147" s="23" t="s">
        <v>281</v>
      </c>
      <c r="D147" s="24">
        <v>112</v>
      </c>
      <c r="E147" s="25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112</v>
      </c>
      <c r="F147" s="23"/>
      <c r="G147" s="24"/>
      <c r="H147" s="39"/>
      <c r="I147" s="40"/>
      <c r="J147" s="41"/>
      <c r="K147" s="39"/>
      <c r="L147" s="40"/>
      <c r="M147" s="41"/>
      <c r="N147" s="39"/>
      <c r="O147" s="40"/>
      <c r="P147" s="41"/>
      <c r="Q147" s="39"/>
      <c r="R147" s="23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0</v>
      </c>
    </row>
    <row r="148" spans="1:18" x14ac:dyDescent="0.2">
      <c r="B148" s="29" t="s">
        <v>214</v>
      </c>
      <c r="C148" s="30" t="s">
        <v>282</v>
      </c>
      <c r="D148" s="31">
        <v>291</v>
      </c>
      <c r="E148" s="32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291</v>
      </c>
      <c r="F148" s="30"/>
      <c r="G148" s="31"/>
      <c r="H148" s="42"/>
      <c r="I148" s="43"/>
      <c r="J148" s="44"/>
      <c r="K148" s="42"/>
      <c r="L148" s="43"/>
      <c r="M148" s="44"/>
      <c r="N148" s="42"/>
      <c r="O148" s="43"/>
      <c r="P148" s="44"/>
      <c r="Q148" s="42"/>
      <c r="R148" s="30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0</v>
      </c>
    </row>
    <row r="149" spans="1:18" x14ac:dyDescent="0.2">
      <c r="B149" s="22" t="s">
        <v>283</v>
      </c>
      <c r="C149" s="23" t="s">
        <v>284</v>
      </c>
      <c r="D149" s="24">
        <v>354</v>
      </c>
      <c r="E149" s="25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350</v>
      </c>
      <c r="F149" s="23"/>
      <c r="G149" s="24"/>
      <c r="H149" s="39"/>
      <c r="I149" s="40"/>
      <c r="J149" s="41"/>
      <c r="K149" s="39"/>
      <c r="L149" s="40"/>
      <c r="M149" s="41"/>
      <c r="N149" s="39"/>
      <c r="O149" s="40"/>
      <c r="P149" s="41"/>
      <c r="Q149" s="39">
        <v>4</v>
      </c>
      <c r="R149" s="23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4</v>
      </c>
    </row>
    <row r="150" spans="1:18" x14ac:dyDescent="0.2">
      <c r="A150" t="s">
        <v>285</v>
      </c>
      <c r="B150" s="29" t="s">
        <v>194</v>
      </c>
      <c r="C150" s="30" t="s">
        <v>286</v>
      </c>
      <c r="D150" s="31">
        <v>486</v>
      </c>
      <c r="E150" s="32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480</v>
      </c>
      <c r="F150" s="30"/>
      <c r="G150" s="31"/>
      <c r="H150" s="42"/>
      <c r="I150" s="43"/>
      <c r="J150" s="44"/>
      <c r="K150" s="42"/>
      <c r="L150" s="43"/>
      <c r="M150" s="44"/>
      <c r="N150" s="42"/>
      <c r="O150" s="43"/>
      <c r="P150" s="44"/>
      <c r="Q150" s="42">
        <v>6</v>
      </c>
      <c r="R150" s="30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6</v>
      </c>
    </row>
    <row r="151" spans="1:18" x14ac:dyDescent="0.2">
      <c r="B151" s="22" t="s">
        <v>287</v>
      </c>
      <c r="C151" s="23" t="s">
        <v>288</v>
      </c>
      <c r="D151" s="24">
        <v>528</v>
      </c>
      <c r="E151" s="25">
        <f>Tabla134671422304048566472808896104112120128136144152136160168176184192160168176200208216224232240248256264272280288296304312320328336342350358366374382[[#This Row],[INVENTARIO INICIAL]]+Tabla134671422304048566472808896104112120128136144152136160168176184192160168176200208216224232240248256264272280288296304312320328336342350358366374382[[#This Row],[INGRESO LUNES]]-Tabla134671422304048566472808896104112120128136144152136160168176184192160168176200208216224232240248256264272280288296304312320328336342350358366374382[[#This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Row],[INGRESO MARTES]]-Tabla134671422304048566472808896104112120128136144152136160168176184192160168176200208216224232240248256264272280288296304312320328336342350358366374382[[#This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Row],[INGRESO MIERCOLES]]-Tabla134671422304048566472808896104112120128136144152136160168176184192160168176200208216224232240248256264272280288296304312320328336342350358366374382[[#This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Row],[INGRESO JUEVES]]-Tabla134671422304048566472808896104112120128136144152136160168176184192160168176200208216224232240248256264272280288296304312320328336342350358366374382[[#This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Row],[INGRESO VIERNES]]-Tabla134671422304048566472808896104112120128136144152136160168176184192160168176200208216224232240248256264272280288296304312320328336342350358366374382[[#This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 INGRESO SABADO]]-Tabla134671422304048566472808896104112120128136144152136160168176184192160168176200208216224232240248256264272280288296304312320328336342350358366374382[[#This Row],[VENTA SABADO]]</f>
        <v>523</v>
      </c>
      <c r="F151" s="23"/>
      <c r="G151" s="24"/>
      <c r="H151" s="39"/>
      <c r="I151" s="40"/>
      <c r="J151" s="41"/>
      <c r="K151" s="39"/>
      <c r="L151" s="40"/>
      <c r="M151" s="41"/>
      <c r="N151" s="39"/>
      <c r="O151" s="40"/>
      <c r="P151" s="41"/>
      <c r="Q151" s="39">
        <v>5</v>
      </c>
      <c r="R151" s="23">
        <f>Tabla134671422304048566472808896104112120128136144152136160168176184192160168176200208216224232240248256264272280288296304312320328336342350358366374382[[#This Row],[VENTA LUNES]]+Tabla134671422304048566472808896104112120128136144152136160168176184192160168176200208216224232240248256264272280288296304312320328336342350358366374382[[#This Row],[VENTA MARTES]]+Tabla134671422304048566472808896104112120128136144152136160168176184192160168176200208216224232240248256264272280288296304312320328336342350358366374382[[#This Row],[VENTA MIERCOLES]]+Tabla134671422304048566472808896104112120128136144152136160168176184192160168176200208216224232240248256264272280288296304312320328336342350358366374382[[#This Row],[VENTA JUEVES]]+Tabla134671422304048566472808896104112120128136144152136160168176184192160168176200208216224232240248256264272280288296304312320328336342350358366374382[[#This Row],[VENTA VIERNES]]+Tabla134671422304048566472808896104112120128136144152136160168176184192160168176200208216224232240248256264272280288296304312320328336342350358366374382[[#This Row],[VENTA SABADO]]</f>
        <v>5</v>
      </c>
    </row>
    <row r="153" spans="1:18" s="54" customFormat="1" ht="38.25" x14ac:dyDescent="0.2">
      <c r="B153" s="17" t="s">
        <v>289</v>
      </c>
      <c r="C153" s="17" t="s">
        <v>5</v>
      </c>
      <c r="D153" s="17" t="s">
        <v>6</v>
      </c>
      <c r="E153" s="37" t="s">
        <v>7</v>
      </c>
      <c r="F153" s="17" t="s">
        <v>8</v>
      </c>
      <c r="G153" s="17" t="s">
        <v>51</v>
      </c>
      <c r="H153" s="17" t="s">
        <v>10</v>
      </c>
      <c r="I153" s="17" t="s">
        <v>11</v>
      </c>
      <c r="J153" s="17" t="s">
        <v>12</v>
      </c>
      <c r="K153" s="17" t="s">
        <v>13</v>
      </c>
      <c r="L153" s="17" t="s">
        <v>14</v>
      </c>
      <c r="M153" s="17" t="s">
        <v>15</v>
      </c>
      <c r="N153" s="17" t="s">
        <v>16</v>
      </c>
      <c r="O153" s="17" t="s">
        <v>17</v>
      </c>
      <c r="P153" s="17" t="s">
        <v>18</v>
      </c>
      <c r="Q153" s="17" t="s">
        <v>19</v>
      </c>
      <c r="R153" s="17" t="s">
        <v>20</v>
      </c>
    </row>
    <row r="154" spans="1:18" x14ac:dyDescent="0.2">
      <c r="B154" s="22" t="s">
        <v>290</v>
      </c>
      <c r="C154" s="23" t="s">
        <v>291</v>
      </c>
      <c r="D154" s="24">
        <v>775</v>
      </c>
      <c r="E154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775</v>
      </c>
      <c r="F154" s="23"/>
      <c r="G154" s="24"/>
      <c r="H154" s="39"/>
      <c r="I154" s="40"/>
      <c r="J154" s="41"/>
      <c r="K154" s="39"/>
      <c r="L154" s="40"/>
      <c r="M154" s="41"/>
      <c r="N154" s="39"/>
      <c r="O154" s="40"/>
      <c r="P154" s="41"/>
      <c r="Q154" s="39"/>
      <c r="R154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55" spans="1:18" x14ac:dyDescent="0.2">
      <c r="B155" s="29" t="s">
        <v>292</v>
      </c>
      <c r="C155" s="30" t="s">
        <v>293</v>
      </c>
      <c r="D155" s="31">
        <v>511</v>
      </c>
      <c r="E155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511</v>
      </c>
      <c r="F155" s="30"/>
      <c r="G155" s="31"/>
      <c r="H155" s="42"/>
      <c r="I155" s="43"/>
      <c r="J155" s="44"/>
      <c r="K155" s="42"/>
      <c r="L155" s="43"/>
      <c r="M155" s="44"/>
      <c r="N155" s="42"/>
      <c r="O155" s="43"/>
      <c r="P155" s="44"/>
      <c r="Q155" s="42"/>
      <c r="R155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56" spans="1:18" ht="13.5" customHeight="1" x14ac:dyDescent="0.2">
      <c r="B156" s="22" t="s">
        <v>294</v>
      </c>
      <c r="C156" s="23" t="s">
        <v>295</v>
      </c>
      <c r="D156" s="24">
        <v>366</v>
      </c>
      <c r="E156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366</v>
      </c>
      <c r="F156" s="23"/>
      <c r="G156" s="24"/>
      <c r="H156" s="39"/>
      <c r="I156" s="40"/>
      <c r="J156" s="41"/>
      <c r="K156" s="39"/>
      <c r="L156" s="40"/>
      <c r="M156" s="41"/>
      <c r="N156" s="39"/>
      <c r="O156" s="40"/>
      <c r="P156" s="41"/>
      <c r="Q156" s="39"/>
      <c r="R156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57" spans="1:18" x14ac:dyDescent="0.2">
      <c r="B157" s="29" t="s">
        <v>296</v>
      </c>
      <c r="C157" s="30" t="s">
        <v>297</v>
      </c>
      <c r="D157" s="31">
        <v>664</v>
      </c>
      <c r="E157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664</v>
      </c>
      <c r="F157" s="30"/>
      <c r="G157" s="31"/>
      <c r="H157" s="42"/>
      <c r="I157" s="43"/>
      <c r="J157" s="44"/>
      <c r="K157" s="42"/>
      <c r="L157" s="43"/>
      <c r="M157" s="44"/>
      <c r="N157" s="42"/>
      <c r="O157" s="43"/>
      <c r="P157" s="44"/>
      <c r="Q157" s="42"/>
      <c r="R157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58" spans="1:18" x14ac:dyDescent="0.2">
      <c r="B158" s="22" t="s">
        <v>298</v>
      </c>
      <c r="C158" s="23" t="s">
        <v>299</v>
      </c>
      <c r="D158" s="24">
        <v>843</v>
      </c>
      <c r="E158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836</v>
      </c>
      <c r="F158" s="23"/>
      <c r="G158" s="24"/>
      <c r="H158" s="39"/>
      <c r="I158" s="40"/>
      <c r="J158" s="41"/>
      <c r="K158" s="39"/>
      <c r="L158" s="40"/>
      <c r="M158" s="41"/>
      <c r="N158" s="39"/>
      <c r="O158" s="40">
        <v>2</v>
      </c>
      <c r="P158" s="41"/>
      <c r="Q158" s="39">
        <v>5</v>
      </c>
      <c r="R158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7</v>
      </c>
    </row>
    <row r="159" spans="1:18" x14ac:dyDescent="0.2">
      <c r="B159" s="29" t="s">
        <v>300</v>
      </c>
      <c r="C159" s="30" t="s">
        <v>301</v>
      </c>
      <c r="D159" s="31">
        <v>46</v>
      </c>
      <c r="E159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39</v>
      </c>
      <c r="F159" s="30"/>
      <c r="G159" s="31"/>
      <c r="H159" s="42"/>
      <c r="I159" s="43"/>
      <c r="J159" s="44"/>
      <c r="K159" s="42"/>
      <c r="L159" s="43"/>
      <c r="M159" s="44"/>
      <c r="N159" s="42"/>
      <c r="O159" s="43">
        <v>2</v>
      </c>
      <c r="P159" s="44"/>
      <c r="Q159" s="42">
        <v>5</v>
      </c>
      <c r="R159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7</v>
      </c>
    </row>
    <row r="160" spans="1:18" x14ac:dyDescent="0.2">
      <c r="B160" s="22" t="s">
        <v>302</v>
      </c>
      <c r="C160" s="23" t="s">
        <v>303</v>
      </c>
      <c r="D160" s="24">
        <v>652</v>
      </c>
      <c r="E160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652</v>
      </c>
      <c r="F160" s="23"/>
      <c r="G160" s="24"/>
      <c r="H160" s="39"/>
      <c r="I160" s="40"/>
      <c r="J160" s="41"/>
      <c r="K160" s="39"/>
      <c r="L160" s="40"/>
      <c r="M160" s="41"/>
      <c r="N160" s="39"/>
      <c r="O160" s="40"/>
      <c r="P160" s="41"/>
      <c r="Q160" s="39"/>
      <c r="R160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61" spans="2:18" x14ac:dyDescent="0.2">
      <c r="B161" s="29" t="s">
        <v>304</v>
      </c>
      <c r="C161" s="30" t="s">
        <v>305</v>
      </c>
      <c r="D161" s="31">
        <v>593</v>
      </c>
      <c r="E161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593</v>
      </c>
      <c r="F161" s="30"/>
      <c r="G161" s="31"/>
      <c r="H161" s="42"/>
      <c r="I161" s="43"/>
      <c r="J161" s="44"/>
      <c r="K161" s="42"/>
      <c r="L161" s="43"/>
      <c r="M161" s="44"/>
      <c r="N161" s="42"/>
      <c r="O161" s="43"/>
      <c r="P161" s="44"/>
      <c r="Q161" s="42"/>
      <c r="R161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62" spans="2:18" x14ac:dyDescent="0.2">
      <c r="B162" s="22" t="s">
        <v>306</v>
      </c>
      <c r="C162" s="23" t="s">
        <v>307</v>
      </c>
      <c r="D162" s="24">
        <v>590</v>
      </c>
      <c r="E162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588</v>
      </c>
      <c r="F162" s="23"/>
      <c r="G162" s="24"/>
      <c r="H162" s="39"/>
      <c r="I162" s="40"/>
      <c r="J162" s="41"/>
      <c r="K162" s="39"/>
      <c r="L162" s="40"/>
      <c r="M162" s="41"/>
      <c r="N162" s="39"/>
      <c r="O162" s="40"/>
      <c r="P162" s="41"/>
      <c r="Q162" s="39">
        <v>2</v>
      </c>
      <c r="R162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2</v>
      </c>
    </row>
    <row r="163" spans="2:18" x14ac:dyDescent="0.2">
      <c r="B163" s="29" t="s">
        <v>308</v>
      </c>
      <c r="C163" s="30" t="s">
        <v>309</v>
      </c>
      <c r="D163" s="31">
        <v>468</v>
      </c>
      <c r="E163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468</v>
      </c>
      <c r="F163" s="30"/>
      <c r="G163" s="31"/>
      <c r="H163" s="42"/>
      <c r="I163" s="43"/>
      <c r="J163" s="44"/>
      <c r="K163" s="42"/>
      <c r="L163" s="43"/>
      <c r="M163" s="44"/>
      <c r="N163" s="42"/>
      <c r="O163" s="43"/>
      <c r="P163" s="44"/>
      <c r="Q163" s="42"/>
      <c r="R163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64" spans="2:18" x14ac:dyDescent="0.2">
      <c r="B164" s="22" t="s">
        <v>310</v>
      </c>
      <c r="C164" s="23" t="s">
        <v>311</v>
      </c>
      <c r="D164" s="24">
        <v>537</v>
      </c>
      <c r="E164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537</v>
      </c>
      <c r="F164" s="23"/>
      <c r="G164" s="24"/>
      <c r="H164" s="39"/>
      <c r="I164" s="40"/>
      <c r="J164" s="41"/>
      <c r="K164" s="39"/>
      <c r="L164" s="40"/>
      <c r="M164" s="41"/>
      <c r="N164" s="39"/>
      <c r="O164" s="40"/>
      <c r="P164" s="41"/>
      <c r="Q164" s="39"/>
      <c r="R164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65" spans="2:18" x14ac:dyDescent="0.2">
      <c r="B165" s="29" t="s">
        <v>312</v>
      </c>
      <c r="C165" s="30" t="s">
        <v>313</v>
      </c>
      <c r="D165" s="31">
        <v>22</v>
      </c>
      <c r="E165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22</v>
      </c>
      <c r="F165" s="30"/>
      <c r="G165" s="31"/>
      <c r="H165" s="42"/>
      <c r="I165" s="43"/>
      <c r="J165" s="44"/>
      <c r="K165" s="42"/>
      <c r="L165" s="43"/>
      <c r="M165" s="44"/>
      <c r="N165" s="42"/>
      <c r="O165" s="43"/>
      <c r="P165" s="44"/>
      <c r="Q165" s="42"/>
      <c r="R165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66" spans="2:18" x14ac:dyDescent="0.2">
      <c r="B166" s="22" t="s">
        <v>314</v>
      </c>
      <c r="C166" s="23" t="s">
        <v>315</v>
      </c>
      <c r="D166" s="24">
        <v>55</v>
      </c>
      <c r="E166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54</v>
      </c>
      <c r="F166" s="23"/>
      <c r="G166" s="24"/>
      <c r="H166" s="39"/>
      <c r="I166" s="40"/>
      <c r="J166" s="41"/>
      <c r="K166" s="39"/>
      <c r="L166" s="40"/>
      <c r="M166" s="41"/>
      <c r="N166" s="39"/>
      <c r="O166" s="40"/>
      <c r="P166" s="41"/>
      <c r="Q166" s="39">
        <v>1</v>
      </c>
      <c r="R166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1</v>
      </c>
    </row>
    <row r="167" spans="2:18" x14ac:dyDescent="0.2">
      <c r="B167" s="29" t="s">
        <v>316</v>
      </c>
      <c r="C167" s="30" t="s">
        <v>317</v>
      </c>
      <c r="D167" s="31">
        <v>0</v>
      </c>
      <c r="E167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0</v>
      </c>
      <c r="F167" s="30"/>
      <c r="G167" s="31"/>
      <c r="H167" s="42"/>
      <c r="I167" s="43"/>
      <c r="J167" s="44"/>
      <c r="K167" s="42"/>
      <c r="L167" s="43"/>
      <c r="M167" s="44"/>
      <c r="N167" s="42"/>
      <c r="O167" s="43"/>
      <c r="P167" s="44"/>
      <c r="Q167" s="42"/>
      <c r="R167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68" spans="2:18" x14ac:dyDescent="0.2">
      <c r="B168" s="22" t="s">
        <v>318</v>
      </c>
      <c r="C168" s="23" t="s">
        <v>319</v>
      </c>
      <c r="D168" s="24">
        <v>108</v>
      </c>
      <c r="E168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106</v>
      </c>
      <c r="F168" s="23"/>
      <c r="G168" s="24"/>
      <c r="H168" s="39"/>
      <c r="I168" s="40"/>
      <c r="J168" s="41"/>
      <c r="K168" s="39"/>
      <c r="L168" s="40"/>
      <c r="M168" s="41"/>
      <c r="N168" s="39"/>
      <c r="O168" s="40"/>
      <c r="P168" s="41"/>
      <c r="Q168" s="39">
        <v>2</v>
      </c>
      <c r="R168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2</v>
      </c>
    </row>
    <row r="169" spans="2:18" ht="13.5" customHeight="1" x14ac:dyDescent="0.2">
      <c r="B169" s="29" t="s">
        <v>320</v>
      </c>
      <c r="C169" s="30" t="s">
        <v>321</v>
      </c>
      <c r="D169" s="31">
        <v>107</v>
      </c>
      <c r="E169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107</v>
      </c>
      <c r="F169" s="30"/>
      <c r="G169" s="31"/>
      <c r="H169" s="42"/>
      <c r="I169" s="43"/>
      <c r="J169" s="44"/>
      <c r="K169" s="42"/>
      <c r="L169" s="43"/>
      <c r="M169" s="44"/>
      <c r="N169" s="42"/>
      <c r="O169" s="43"/>
      <c r="P169" s="44"/>
      <c r="Q169" s="42"/>
      <c r="R169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70" spans="2:18" x14ac:dyDescent="0.2">
      <c r="B170" s="22" t="s">
        <v>322</v>
      </c>
      <c r="C170" s="23" t="s">
        <v>323</v>
      </c>
      <c r="D170" s="24">
        <v>106</v>
      </c>
      <c r="E170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106</v>
      </c>
      <c r="F170" s="23"/>
      <c r="G170" s="24"/>
      <c r="H170" s="39"/>
      <c r="I170" s="40"/>
      <c r="J170" s="41"/>
      <c r="K170" s="39"/>
      <c r="L170" s="40"/>
      <c r="M170" s="41"/>
      <c r="N170" s="39"/>
      <c r="O170" s="40"/>
      <c r="P170" s="41"/>
      <c r="Q170" s="39"/>
      <c r="R170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71" spans="2:18" x14ac:dyDescent="0.2">
      <c r="B171" s="29" t="s">
        <v>324</v>
      </c>
      <c r="C171" s="30" t="s">
        <v>325</v>
      </c>
      <c r="D171" s="31">
        <v>113</v>
      </c>
      <c r="E171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113</v>
      </c>
      <c r="F171" s="30"/>
      <c r="G171" s="31"/>
      <c r="H171" s="42"/>
      <c r="I171" s="43"/>
      <c r="J171" s="44"/>
      <c r="K171" s="42"/>
      <c r="L171" s="43"/>
      <c r="M171" s="44"/>
      <c r="N171" s="42"/>
      <c r="O171" s="43"/>
      <c r="P171" s="44"/>
      <c r="Q171" s="42"/>
      <c r="R171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72" spans="2:18" x14ac:dyDescent="0.2">
      <c r="B172" s="22" t="s">
        <v>326</v>
      </c>
      <c r="C172" s="23" t="s">
        <v>327</v>
      </c>
      <c r="D172" s="24">
        <v>109</v>
      </c>
      <c r="E172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109</v>
      </c>
      <c r="F172" s="23"/>
      <c r="G172" s="24"/>
      <c r="H172" s="39"/>
      <c r="I172" s="40"/>
      <c r="J172" s="41"/>
      <c r="K172" s="39"/>
      <c r="L172" s="40"/>
      <c r="M172" s="41"/>
      <c r="N172" s="39"/>
      <c r="O172" s="40"/>
      <c r="P172" s="41"/>
      <c r="Q172" s="39"/>
      <c r="R172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73" spans="2:18" x14ac:dyDescent="0.2">
      <c r="B173" s="29" t="s">
        <v>328</v>
      </c>
      <c r="C173" s="30" t="s">
        <v>329</v>
      </c>
      <c r="D173" s="31">
        <v>112</v>
      </c>
      <c r="E173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112</v>
      </c>
      <c r="F173" s="30"/>
      <c r="G173" s="31"/>
      <c r="H173" s="42"/>
      <c r="I173" s="43"/>
      <c r="J173" s="44"/>
      <c r="K173" s="42"/>
      <c r="L173" s="43"/>
      <c r="M173" s="44"/>
      <c r="N173" s="42"/>
      <c r="O173" s="43"/>
      <c r="P173" s="44"/>
      <c r="Q173" s="42"/>
      <c r="R173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74" spans="2:18" x14ac:dyDescent="0.2">
      <c r="B174" s="22" t="s">
        <v>330</v>
      </c>
      <c r="C174" s="23" t="s">
        <v>331</v>
      </c>
      <c r="D174" s="24">
        <v>76</v>
      </c>
      <c r="E174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76</v>
      </c>
      <c r="F174" s="23"/>
      <c r="G174" s="24"/>
      <c r="H174" s="39"/>
      <c r="I174" s="40"/>
      <c r="J174" s="41"/>
      <c r="K174" s="39"/>
      <c r="L174" s="40"/>
      <c r="M174" s="41"/>
      <c r="N174" s="39"/>
      <c r="O174" s="40"/>
      <c r="P174" s="41"/>
      <c r="Q174" s="39"/>
      <c r="R174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75" spans="2:18" x14ac:dyDescent="0.2">
      <c r="B175" s="29" t="s">
        <v>332</v>
      </c>
      <c r="C175" s="30" t="s">
        <v>333</v>
      </c>
      <c r="D175" s="31">
        <v>147</v>
      </c>
      <c r="E175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147</v>
      </c>
      <c r="F175" s="30"/>
      <c r="G175" s="31"/>
      <c r="H175" s="42"/>
      <c r="I175" s="43"/>
      <c r="J175" s="44"/>
      <c r="K175" s="42"/>
      <c r="L175" s="43"/>
      <c r="M175" s="44"/>
      <c r="N175" s="42"/>
      <c r="O175" s="43"/>
      <c r="P175" s="44"/>
      <c r="Q175" s="42"/>
      <c r="R175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76" spans="2:18" x14ac:dyDescent="0.2">
      <c r="B176" s="22" t="s">
        <v>334</v>
      </c>
      <c r="C176" s="23" t="s">
        <v>335</v>
      </c>
      <c r="D176" s="24">
        <v>104</v>
      </c>
      <c r="E176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104</v>
      </c>
      <c r="F176" s="23"/>
      <c r="G176" s="24"/>
      <c r="H176" s="39"/>
      <c r="I176" s="40"/>
      <c r="J176" s="41"/>
      <c r="K176" s="39"/>
      <c r="L176" s="40"/>
      <c r="M176" s="41"/>
      <c r="N176" s="39"/>
      <c r="O176" s="40"/>
      <c r="P176" s="41"/>
      <c r="Q176" s="39"/>
      <c r="R176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77" spans="2:18" x14ac:dyDescent="0.2">
      <c r="B177" s="29" t="s">
        <v>336</v>
      </c>
      <c r="C177" s="30" t="s">
        <v>337</v>
      </c>
      <c r="D177" s="31">
        <v>68</v>
      </c>
      <c r="E177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68</v>
      </c>
      <c r="F177" s="30"/>
      <c r="G177" s="31"/>
      <c r="H177" s="42"/>
      <c r="I177" s="43"/>
      <c r="J177" s="44"/>
      <c r="K177" s="42"/>
      <c r="L177" s="43"/>
      <c r="M177" s="44"/>
      <c r="N177" s="42"/>
      <c r="O177" s="43"/>
      <c r="P177" s="44"/>
      <c r="Q177" s="42"/>
      <c r="R177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78" spans="2:18" x14ac:dyDescent="0.2">
      <c r="B178" s="22" t="s">
        <v>338</v>
      </c>
      <c r="C178" s="23" t="s">
        <v>339</v>
      </c>
      <c r="D178" s="24">
        <v>0</v>
      </c>
      <c r="E178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0</v>
      </c>
      <c r="F178" s="23"/>
      <c r="G178" s="24"/>
      <c r="H178" s="39"/>
      <c r="I178" s="40"/>
      <c r="J178" s="41"/>
      <c r="K178" s="39"/>
      <c r="L178" s="40"/>
      <c r="M178" s="41"/>
      <c r="N178" s="39"/>
      <c r="O178" s="40"/>
      <c r="P178" s="41"/>
      <c r="Q178" s="39"/>
      <c r="R178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79" spans="2:18" x14ac:dyDescent="0.2">
      <c r="B179" s="29" t="s">
        <v>340</v>
      </c>
      <c r="C179" s="30" t="s">
        <v>341</v>
      </c>
      <c r="D179" s="31">
        <v>49</v>
      </c>
      <c r="E179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47</v>
      </c>
      <c r="F179" s="30"/>
      <c r="G179" s="31"/>
      <c r="H179" s="42"/>
      <c r="I179" s="43"/>
      <c r="J179" s="44"/>
      <c r="K179" s="42"/>
      <c r="L179" s="43"/>
      <c r="M179" s="44"/>
      <c r="N179" s="42"/>
      <c r="O179" s="43">
        <v>1</v>
      </c>
      <c r="P179" s="44"/>
      <c r="Q179" s="42">
        <v>1</v>
      </c>
      <c r="R179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2</v>
      </c>
    </row>
    <row r="180" spans="2:18" x14ac:dyDescent="0.2">
      <c r="B180" s="22" t="s">
        <v>342</v>
      </c>
      <c r="C180" s="23" t="s">
        <v>343</v>
      </c>
      <c r="D180" s="24">
        <v>31</v>
      </c>
      <c r="E180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29</v>
      </c>
      <c r="F180" s="23"/>
      <c r="G180" s="24"/>
      <c r="H180" s="39"/>
      <c r="I180" s="40"/>
      <c r="J180" s="41"/>
      <c r="K180" s="39"/>
      <c r="L180" s="40"/>
      <c r="M180" s="41"/>
      <c r="N180" s="39"/>
      <c r="O180" s="40">
        <v>1</v>
      </c>
      <c r="P180" s="41"/>
      <c r="Q180" s="39">
        <v>1</v>
      </c>
      <c r="R180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2</v>
      </c>
    </row>
    <row r="181" spans="2:18" x14ac:dyDescent="0.2">
      <c r="B181" s="29" t="s">
        <v>344</v>
      </c>
      <c r="C181" s="30" t="s">
        <v>345</v>
      </c>
      <c r="D181" s="31">
        <v>195</v>
      </c>
      <c r="E181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195</v>
      </c>
      <c r="F181" s="30"/>
      <c r="G181" s="31"/>
      <c r="H181" s="42"/>
      <c r="I181" s="43"/>
      <c r="J181" s="44"/>
      <c r="K181" s="42"/>
      <c r="L181" s="43"/>
      <c r="M181" s="44"/>
      <c r="N181" s="42"/>
      <c r="O181" s="43"/>
      <c r="P181" s="44"/>
      <c r="Q181" s="42"/>
      <c r="R181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82" spans="2:18" x14ac:dyDescent="0.2">
      <c r="B182" s="22" t="s">
        <v>346</v>
      </c>
      <c r="C182" s="23" t="s">
        <v>347</v>
      </c>
      <c r="D182" s="24">
        <v>0</v>
      </c>
      <c r="E182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0</v>
      </c>
      <c r="F182" s="23"/>
      <c r="G182" s="24"/>
      <c r="H182" s="39"/>
      <c r="I182" s="40"/>
      <c r="J182" s="41"/>
      <c r="K182" s="39"/>
      <c r="L182" s="40"/>
      <c r="M182" s="41"/>
      <c r="N182" s="39"/>
      <c r="O182" s="40"/>
      <c r="P182" s="41"/>
      <c r="Q182" s="39"/>
      <c r="R182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83" spans="2:18" x14ac:dyDescent="0.2">
      <c r="B183" s="29" t="s">
        <v>348</v>
      </c>
      <c r="C183" s="30" t="s">
        <v>349</v>
      </c>
      <c r="D183" s="31">
        <v>29</v>
      </c>
      <c r="E183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29</v>
      </c>
      <c r="F183" s="30"/>
      <c r="G183" s="31"/>
      <c r="H183" s="42"/>
      <c r="I183" s="43"/>
      <c r="J183" s="44"/>
      <c r="K183" s="42"/>
      <c r="L183" s="43"/>
      <c r="M183" s="44"/>
      <c r="N183" s="42"/>
      <c r="O183" s="43"/>
      <c r="P183" s="44"/>
      <c r="Q183" s="42"/>
      <c r="R183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84" spans="2:18" x14ac:dyDescent="0.2">
      <c r="B184" s="22" t="s">
        <v>350</v>
      </c>
      <c r="C184" s="23" t="s">
        <v>351</v>
      </c>
      <c r="D184" s="24">
        <v>33</v>
      </c>
      <c r="E184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33</v>
      </c>
      <c r="F184" s="23"/>
      <c r="G184" s="24"/>
      <c r="H184" s="39"/>
      <c r="I184" s="40"/>
      <c r="J184" s="41"/>
      <c r="K184" s="39"/>
      <c r="L184" s="40"/>
      <c r="M184" s="41"/>
      <c r="N184" s="39"/>
      <c r="O184" s="40"/>
      <c r="P184" s="41"/>
      <c r="Q184" s="39"/>
      <c r="R184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85" spans="2:18" x14ac:dyDescent="0.2">
      <c r="B185" s="29" t="s">
        <v>352</v>
      </c>
      <c r="C185" s="30" t="s">
        <v>353</v>
      </c>
      <c r="D185" s="31">
        <v>0</v>
      </c>
      <c r="E185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0</v>
      </c>
      <c r="F185" s="30"/>
      <c r="G185" s="31"/>
      <c r="H185" s="42"/>
      <c r="I185" s="43"/>
      <c r="J185" s="44"/>
      <c r="K185" s="42"/>
      <c r="L185" s="43"/>
      <c r="M185" s="44"/>
      <c r="N185" s="42"/>
      <c r="O185" s="43"/>
      <c r="P185" s="44"/>
      <c r="Q185" s="42"/>
      <c r="R185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86" spans="2:18" x14ac:dyDescent="0.2">
      <c r="B186" s="22" t="s">
        <v>354</v>
      </c>
      <c r="C186" s="23" t="s">
        <v>355</v>
      </c>
      <c r="D186" s="24">
        <v>13</v>
      </c>
      <c r="E186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13</v>
      </c>
      <c r="F186" s="23"/>
      <c r="G186" s="24"/>
      <c r="H186" s="39"/>
      <c r="I186" s="40"/>
      <c r="J186" s="41"/>
      <c r="K186" s="39"/>
      <c r="L186" s="40"/>
      <c r="M186" s="41"/>
      <c r="N186" s="39"/>
      <c r="O186" s="40"/>
      <c r="P186" s="41"/>
      <c r="Q186" s="39"/>
      <c r="R186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87" spans="2:18" x14ac:dyDescent="0.2">
      <c r="B187" s="29" t="s">
        <v>356</v>
      </c>
      <c r="C187" s="30" t="s">
        <v>357</v>
      </c>
      <c r="D187" s="31">
        <v>9</v>
      </c>
      <c r="E187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9</v>
      </c>
      <c r="F187" s="30"/>
      <c r="G187" s="31"/>
      <c r="H187" s="42"/>
      <c r="I187" s="43"/>
      <c r="J187" s="44"/>
      <c r="K187" s="42"/>
      <c r="L187" s="43"/>
      <c r="M187" s="44"/>
      <c r="N187" s="42"/>
      <c r="O187" s="43"/>
      <c r="P187" s="44"/>
      <c r="Q187" s="42"/>
      <c r="R187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88" spans="2:18" x14ac:dyDescent="0.2">
      <c r="B188" s="22" t="s">
        <v>358</v>
      </c>
      <c r="C188" s="23" t="s">
        <v>359</v>
      </c>
      <c r="D188" s="24">
        <v>0</v>
      </c>
      <c r="E188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0</v>
      </c>
      <c r="F188" s="23"/>
      <c r="G188" s="24"/>
      <c r="H188" s="39"/>
      <c r="I188" s="40"/>
      <c r="J188" s="41"/>
      <c r="K188" s="39"/>
      <c r="L188" s="40"/>
      <c r="M188" s="41"/>
      <c r="N188" s="39"/>
      <c r="O188" s="40"/>
      <c r="P188" s="41"/>
      <c r="Q188" s="39"/>
      <c r="R188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89" spans="2:18" x14ac:dyDescent="0.2">
      <c r="B189" s="29" t="s">
        <v>360</v>
      </c>
      <c r="C189" s="30" t="s">
        <v>361</v>
      </c>
      <c r="D189" s="31">
        <v>81</v>
      </c>
      <c r="E189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81</v>
      </c>
      <c r="F189" s="30"/>
      <c r="G189" s="31"/>
      <c r="H189" s="42"/>
      <c r="I189" s="43"/>
      <c r="J189" s="44"/>
      <c r="K189" s="42"/>
      <c r="L189" s="43"/>
      <c r="M189" s="44"/>
      <c r="N189" s="42"/>
      <c r="O189" s="43"/>
      <c r="P189" s="44"/>
      <c r="Q189" s="42"/>
      <c r="R189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90" spans="2:18" x14ac:dyDescent="0.2">
      <c r="B190" s="22" t="s">
        <v>362</v>
      </c>
      <c r="C190" s="23" t="s">
        <v>363</v>
      </c>
      <c r="D190" s="24"/>
      <c r="E190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0</v>
      </c>
      <c r="F190" s="23"/>
      <c r="G190" s="24"/>
      <c r="H190" s="39"/>
      <c r="I190" s="40"/>
      <c r="J190" s="41"/>
      <c r="K190" s="39"/>
      <c r="L190" s="40"/>
      <c r="M190" s="41"/>
      <c r="N190" s="39"/>
      <c r="O190" s="40"/>
      <c r="P190" s="41"/>
      <c r="Q190" s="39"/>
      <c r="R190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91" spans="2:18" x14ac:dyDescent="0.2">
      <c r="B191" s="29" t="s">
        <v>364</v>
      </c>
      <c r="C191" s="30" t="s">
        <v>365</v>
      </c>
      <c r="D191" s="31"/>
      <c r="E191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0</v>
      </c>
      <c r="F191" s="30"/>
      <c r="G191" s="31"/>
      <c r="H191" s="42"/>
      <c r="I191" s="43"/>
      <c r="J191" s="44"/>
      <c r="K191" s="42"/>
      <c r="L191" s="43"/>
      <c r="M191" s="44"/>
      <c r="N191" s="42"/>
      <c r="O191" s="43"/>
      <c r="P191" s="44"/>
      <c r="Q191" s="42"/>
      <c r="R191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92" spans="2:18" x14ac:dyDescent="0.2">
      <c r="B192" s="22" t="s">
        <v>366</v>
      </c>
      <c r="C192" s="23" t="s">
        <v>367</v>
      </c>
      <c r="D192" s="24"/>
      <c r="E192" s="25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0</v>
      </c>
      <c r="F192" s="23"/>
      <c r="G192" s="24"/>
      <c r="H192" s="39"/>
      <c r="I192" s="40"/>
      <c r="J192" s="41"/>
      <c r="K192" s="39"/>
      <c r="L192" s="40"/>
      <c r="M192" s="41"/>
      <c r="N192" s="39"/>
      <c r="O192" s="40"/>
      <c r="P192" s="41"/>
      <c r="Q192" s="39"/>
      <c r="R192" s="23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93" spans="2:18" x14ac:dyDescent="0.2">
      <c r="B193" s="29" t="s">
        <v>368</v>
      </c>
      <c r="C193" s="30" t="s">
        <v>369</v>
      </c>
      <c r="D193" s="31"/>
      <c r="E193" s="32">
        <f>Tabla134681523314149576573818997105113121129137145153137161169177185193161169177201209217225233241249257265273281289297305313321329337343351359367375383[[#This Row],[INVENTARIO INICIAL]]+Tabla134681523314149576573818997105113121129137145153137161169177185193161169177201209217225233241249257265273281289297305313321329337343351359367375383[[#This Row],[INGRESO LUNES]]-Tabla134681523314149576573818997105113121129137145153137161169177185193161169177201209217225233241249257265273281289297305313321329337343351359367375383[[#This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Row],[INGRESO MARTES]]-Tabla134681523314149576573818997105113121129137145153137161169177185193161169177201209217225233241249257265273281289297305313321329337343351359367375383[[#This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Row],[INGRESO MIERCOLES]]-Tabla134681523314149576573818997105113121129137145153137161169177185193161169177201209217225233241249257265273281289297305313321329337343351359367375383[[#This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Row],[INGRESO JUEVES]]-Tabla134681523314149576573818997105113121129137145153137161169177185193161169177201209217225233241249257265273281289297305313321329337343351359367375383[[#This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Row],[INGRESO VIERNES]]-Tabla134681523314149576573818997105113121129137145153137161169177185193161169177201209217225233241249257265273281289297305313321329337343351359367375383[[#This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 INGRESO SABADO]]-Tabla134681523314149576573818997105113121129137145153137161169177185193161169177201209217225233241249257265273281289297305313321329337343351359367375383[[#This Row],[VENTA SABADO]]</f>
        <v>0</v>
      </c>
      <c r="F193" s="30"/>
      <c r="G193" s="31"/>
      <c r="H193" s="42"/>
      <c r="I193" s="43"/>
      <c r="J193" s="44"/>
      <c r="K193" s="42"/>
      <c r="L193" s="43"/>
      <c r="M193" s="44"/>
      <c r="N193" s="42"/>
      <c r="O193" s="43"/>
      <c r="P193" s="44"/>
      <c r="Q193" s="42"/>
      <c r="R193" s="30">
        <f>Tabla134681523314149576573818997105113121129137145153137161169177185193161169177201209217225233241249257265273281289297305313321329337343351359367375383[[#This Row],[VENTA LUNES]]+Tabla134681523314149576573818997105113121129137145153137161169177185193161169177201209217225233241249257265273281289297305313321329337343351359367375383[[#This Row],[VENTA MARTES]]+Tabla134681523314149576573818997105113121129137145153137161169177185193161169177201209217225233241249257265273281289297305313321329337343351359367375383[[#This Row],[VENTA MIERCOLES]]+Tabla134681523314149576573818997105113121129137145153137161169177185193161169177201209217225233241249257265273281289297305313321329337343351359367375383[[#This Row],[VENTA JUEVES]]+Tabla134681523314149576573818997105113121129137145153137161169177185193161169177201209217225233241249257265273281289297305313321329337343351359367375383[[#This Row],[VENTA VIERNES]]+Tabla134681523314149576573818997105113121129137145153137161169177185193161169177201209217225233241249257265273281289297305313321329337343351359367375383[[#This Row],[VENTA SABADO]]</f>
        <v>0</v>
      </c>
    </row>
    <row r="195" spans="2:18" s="54" customFormat="1" ht="38.25" x14ac:dyDescent="0.2">
      <c r="B195" s="17" t="s">
        <v>370</v>
      </c>
      <c r="C195" s="17" t="s">
        <v>5</v>
      </c>
      <c r="D195" s="17" t="s">
        <v>6</v>
      </c>
      <c r="E195" s="17" t="s">
        <v>7</v>
      </c>
      <c r="F195" s="17" t="s">
        <v>8</v>
      </c>
      <c r="G195" s="17" t="s">
        <v>51</v>
      </c>
      <c r="H195" s="17" t="s">
        <v>10</v>
      </c>
      <c r="I195" s="17" t="s">
        <v>11</v>
      </c>
      <c r="J195" s="17" t="s">
        <v>12</v>
      </c>
      <c r="K195" s="17" t="s">
        <v>13</v>
      </c>
      <c r="L195" s="17" t="s">
        <v>14</v>
      </c>
      <c r="M195" s="17" t="s">
        <v>15</v>
      </c>
      <c r="N195" s="17" t="s">
        <v>16</v>
      </c>
      <c r="O195" s="17" t="s">
        <v>371</v>
      </c>
      <c r="P195" s="17" t="s">
        <v>372</v>
      </c>
      <c r="Q195" s="17" t="s">
        <v>373</v>
      </c>
      <c r="R195" s="17" t="s">
        <v>20</v>
      </c>
    </row>
    <row r="196" spans="2:18" x14ac:dyDescent="0.2">
      <c r="B196" s="22" t="s">
        <v>374</v>
      </c>
      <c r="C196" s="23" t="s">
        <v>375</v>
      </c>
      <c r="D196" s="24">
        <v>0</v>
      </c>
      <c r="E196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196" s="23"/>
      <c r="G196" s="24"/>
      <c r="H196" s="39"/>
      <c r="I196" s="40"/>
      <c r="J196" s="41"/>
      <c r="K196" s="39"/>
      <c r="L196" s="40"/>
      <c r="M196" s="41"/>
      <c r="N196" s="39"/>
      <c r="O196" s="40"/>
      <c r="P196" s="41"/>
      <c r="Q196" s="39"/>
      <c r="R196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197" spans="2:18" x14ac:dyDescent="0.2">
      <c r="B197" s="29" t="s">
        <v>376</v>
      </c>
      <c r="C197" s="30" t="s">
        <v>377</v>
      </c>
      <c r="D197" s="31">
        <v>55</v>
      </c>
      <c r="E197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59</v>
      </c>
      <c r="F197" s="30"/>
      <c r="G197" s="31"/>
      <c r="H197" s="42"/>
      <c r="I197" s="43"/>
      <c r="J197" s="44"/>
      <c r="K197" s="42"/>
      <c r="L197" s="43"/>
      <c r="M197" s="44"/>
      <c r="N197" s="42">
        <v>8</v>
      </c>
      <c r="O197" s="43"/>
      <c r="P197" s="44"/>
      <c r="Q197" s="42">
        <v>4</v>
      </c>
      <c r="R197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4</v>
      </c>
    </row>
    <row r="198" spans="2:18" x14ac:dyDescent="0.2">
      <c r="B198" s="22" t="s">
        <v>378</v>
      </c>
      <c r="C198" s="23" t="s">
        <v>379</v>
      </c>
      <c r="D198" s="24">
        <v>59</v>
      </c>
      <c r="E198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34</v>
      </c>
      <c r="F198" s="23"/>
      <c r="G198" s="24"/>
      <c r="H198" s="39"/>
      <c r="I198" s="40"/>
      <c r="J198" s="41"/>
      <c r="K198" s="39"/>
      <c r="L198" s="40"/>
      <c r="M198" s="41"/>
      <c r="N198" s="39"/>
      <c r="O198" s="40"/>
      <c r="P198" s="41"/>
      <c r="Q198" s="39">
        <v>25</v>
      </c>
      <c r="R198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25</v>
      </c>
    </row>
    <row r="199" spans="2:18" x14ac:dyDescent="0.2">
      <c r="B199" s="29" t="s">
        <v>380</v>
      </c>
      <c r="C199" s="30" t="s">
        <v>381</v>
      </c>
      <c r="D199" s="31">
        <v>108</v>
      </c>
      <c r="E199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90</v>
      </c>
      <c r="F199" s="30"/>
      <c r="G199" s="31"/>
      <c r="H199" s="42"/>
      <c r="I199" s="43"/>
      <c r="J199" s="44"/>
      <c r="K199" s="42"/>
      <c r="L199" s="43"/>
      <c r="M199" s="44"/>
      <c r="N199" s="42">
        <v>1</v>
      </c>
      <c r="O199" s="43"/>
      <c r="P199" s="44"/>
      <c r="Q199" s="42">
        <v>19</v>
      </c>
      <c r="R199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19</v>
      </c>
    </row>
    <row r="200" spans="2:18" x14ac:dyDescent="0.2">
      <c r="B200" s="22" t="s">
        <v>382</v>
      </c>
      <c r="C200" s="23" t="s">
        <v>383</v>
      </c>
      <c r="D200" s="24">
        <v>59</v>
      </c>
      <c r="E200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51</v>
      </c>
      <c r="F200" s="23"/>
      <c r="G200" s="24"/>
      <c r="H200" s="39"/>
      <c r="I200" s="40"/>
      <c r="J200" s="41"/>
      <c r="K200" s="39"/>
      <c r="L200" s="40"/>
      <c r="M200" s="41"/>
      <c r="N200" s="39">
        <v>3</v>
      </c>
      <c r="O200" s="40"/>
      <c r="P200" s="41"/>
      <c r="Q200" s="39">
        <v>11</v>
      </c>
      <c r="R200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11</v>
      </c>
    </row>
    <row r="201" spans="2:18" x14ac:dyDescent="0.2">
      <c r="B201" s="29" t="s">
        <v>384</v>
      </c>
      <c r="C201" s="30" t="s">
        <v>385</v>
      </c>
      <c r="D201" s="31">
        <v>117</v>
      </c>
      <c r="E201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108</v>
      </c>
      <c r="F201" s="30"/>
      <c r="G201" s="31"/>
      <c r="H201" s="42"/>
      <c r="I201" s="43"/>
      <c r="J201" s="44"/>
      <c r="K201" s="42"/>
      <c r="L201" s="43"/>
      <c r="M201" s="44"/>
      <c r="N201" s="42"/>
      <c r="O201" s="43">
        <v>3</v>
      </c>
      <c r="P201" s="44"/>
      <c r="Q201" s="42">
        <v>6</v>
      </c>
      <c r="R201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9</v>
      </c>
    </row>
    <row r="202" spans="2:18" x14ac:dyDescent="0.2">
      <c r="B202" s="22" t="s">
        <v>386</v>
      </c>
      <c r="C202" s="23" t="s">
        <v>387</v>
      </c>
      <c r="D202" s="24">
        <v>242</v>
      </c>
      <c r="E202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242</v>
      </c>
      <c r="F202" s="23"/>
      <c r="G202" s="24"/>
      <c r="H202" s="39"/>
      <c r="I202" s="40"/>
      <c r="J202" s="41"/>
      <c r="K202" s="39"/>
      <c r="L202" s="40"/>
      <c r="M202" s="41"/>
      <c r="N202" s="39"/>
      <c r="O202" s="40"/>
      <c r="P202" s="41"/>
      <c r="Q202" s="39"/>
      <c r="R202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03" spans="2:18" x14ac:dyDescent="0.2">
      <c r="B203" s="29" t="s">
        <v>388</v>
      </c>
      <c r="C203" s="30" t="s">
        <v>389</v>
      </c>
      <c r="D203" s="31">
        <v>31</v>
      </c>
      <c r="E203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28</v>
      </c>
      <c r="F203" s="30"/>
      <c r="G203" s="31"/>
      <c r="H203" s="42"/>
      <c r="I203" s="43"/>
      <c r="J203" s="44"/>
      <c r="K203" s="42"/>
      <c r="L203" s="43"/>
      <c r="M203" s="44"/>
      <c r="N203" s="42"/>
      <c r="O203" s="43"/>
      <c r="P203" s="44"/>
      <c r="Q203" s="42">
        <v>3</v>
      </c>
      <c r="R203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3</v>
      </c>
    </row>
    <row r="204" spans="2:18" x14ac:dyDescent="0.2">
      <c r="B204" s="22" t="s">
        <v>390</v>
      </c>
      <c r="C204" s="23" t="s">
        <v>391</v>
      </c>
      <c r="D204" s="24">
        <v>0</v>
      </c>
      <c r="E204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04" s="23"/>
      <c r="G204" s="24"/>
      <c r="H204" s="39"/>
      <c r="I204" s="40"/>
      <c r="J204" s="41"/>
      <c r="K204" s="39"/>
      <c r="L204" s="40"/>
      <c r="M204" s="41"/>
      <c r="N204" s="39"/>
      <c r="O204" s="40"/>
      <c r="P204" s="41"/>
      <c r="Q204" s="39"/>
      <c r="R204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05" spans="2:18" x14ac:dyDescent="0.2">
      <c r="B205" s="29" t="s">
        <v>392</v>
      </c>
      <c r="C205" s="30" t="s">
        <v>393</v>
      </c>
      <c r="D205" s="31">
        <v>112</v>
      </c>
      <c r="E205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112</v>
      </c>
      <c r="F205" s="30"/>
      <c r="G205" s="31"/>
      <c r="H205" s="42"/>
      <c r="I205" s="43"/>
      <c r="J205" s="44"/>
      <c r="K205" s="42"/>
      <c r="L205" s="43"/>
      <c r="M205" s="44"/>
      <c r="N205" s="42"/>
      <c r="O205" s="43"/>
      <c r="P205" s="44"/>
      <c r="Q205" s="42"/>
      <c r="R205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06" spans="2:18" x14ac:dyDescent="0.2">
      <c r="B206" s="22" t="s">
        <v>394</v>
      </c>
      <c r="C206" s="23" t="s">
        <v>395</v>
      </c>
      <c r="D206" s="24">
        <v>36</v>
      </c>
      <c r="E206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5</v>
      </c>
      <c r="F206" s="23"/>
      <c r="G206" s="24"/>
      <c r="H206" s="39"/>
      <c r="I206" s="40"/>
      <c r="J206" s="41"/>
      <c r="K206" s="39"/>
      <c r="L206" s="40"/>
      <c r="M206" s="41"/>
      <c r="N206" s="39"/>
      <c r="O206" s="40"/>
      <c r="P206" s="41"/>
      <c r="Q206" s="39">
        <v>31</v>
      </c>
      <c r="R206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31</v>
      </c>
    </row>
    <row r="207" spans="2:18" x14ac:dyDescent="0.2">
      <c r="B207" s="29" t="s">
        <v>396</v>
      </c>
      <c r="C207" s="30" t="s">
        <v>397</v>
      </c>
      <c r="D207" s="31">
        <v>103</v>
      </c>
      <c r="E207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99</v>
      </c>
      <c r="F207" s="30"/>
      <c r="G207" s="31"/>
      <c r="H207" s="42"/>
      <c r="I207" s="43"/>
      <c r="J207" s="44"/>
      <c r="K207" s="42"/>
      <c r="L207" s="43"/>
      <c r="M207" s="44"/>
      <c r="N207" s="42"/>
      <c r="O207" s="43">
        <v>3</v>
      </c>
      <c r="P207" s="44"/>
      <c r="Q207" s="42">
        <v>1</v>
      </c>
      <c r="R207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4</v>
      </c>
    </row>
    <row r="208" spans="2:18" x14ac:dyDescent="0.2">
      <c r="B208" s="22" t="s">
        <v>398</v>
      </c>
      <c r="C208" s="23" t="s">
        <v>399</v>
      </c>
      <c r="D208" s="24">
        <v>12</v>
      </c>
      <c r="E208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10</v>
      </c>
      <c r="F208" s="23"/>
      <c r="G208" s="24"/>
      <c r="H208" s="39"/>
      <c r="I208" s="40"/>
      <c r="J208" s="41"/>
      <c r="K208" s="39"/>
      <c r="L208" s="40"/>
      <c r="M208" s="41"/>
      <c r="N208" s="39"/>
      <c r="O208" s="40"/>
      <c r="P208" s="41"/>
      <c r="Q208" s="39">
        <v>2</v>
      </c>
      <c r="R208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2</v>
      </c>
    </row>
    <row r="209" spans="2:18" x14ac:dyDescent="0.2">
      <c r="B209" s="29" t="s">
        <v>400</v>
      </c>
      <c r="C209" s="30" t="s">
        <v>401</v>
      </c>
      <c r="D209" s="31">
        <v>96</v>
      </c>
      <c r="E209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89</v>
      </c>
      <c r="F209" s="30"/>
      <c r="G209" s="31"/>
      <c r="H209" s="42"/>
      <c r="I209" s="43"/>
      <c r="J209" s="44"/>
      <c r="K209" s="42"/>
      <c r="L209" s="43"/>
      <c r="M209" s="44"/>
      <c r="N209" s="42"/>
      <c r="O209" s="43"/>
      <c r="P209" s="44"/>
      <c r="Q209" s="42">
        <v>7</v>
      </c>
      <c r="R209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7</v>
      </c>
    </row>
    <row r="210" spans="2:18" x14ac:dyDescent="0.2">
      <c r="B210" s="22" t="s">
        <v>402</v>
      </c>
      <c r="C210" s="23" t="s">
        <v>403</v>
      </c>
      <c r="D210" s="24">
        <v>0</v>
      </c>
      <c r="E210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10" s="23"/>
      <c r="G210" s="24"/>
      <c r="H210" s="39"/>
      <c r="I210" s="40"/>
      <c r="J210" s="41"/>
      <c r="K210" s="39"/>
      <c r="L210" s="40"/>
      <c r="M210" s="41"/>
      <c r="N210" s="39"/>
      <c r="O210" s="40"/>
      <c r="P210" s="41"/>
      <c r="Q210" s="39"/>
      <c r="R210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11" spans="2:18" x14ac:dyDescent="0.2">
      <c r="B211" s="29" t="s">
        <v>404</v>
      </c>
      <c r="C211" s="30" t="s">
        <v>405</v>
      </c>
      <c r="D211" s="31">
        <v>26</v>
      </c>
      <c r="E211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23</v>
      </c>
      <c r="F211" s="30"/>
      <c r="G211" s="31"/>
      <c r="H211" s="42"/>
      <c r="I211" s="43"/>
      <c r="J211" s="44"/>
      <c r="K211" s="42"/>
      <c r="L211" s="43"/>
      <c r="M211" s="44"/>
      <c r="N211" s="42"/>
      <c r="O211" s="43"/>
      <c r="P211" s="44"/>
      <c r="Q211" s="42">
        <v>3</v>
      </c>
      <c r="R211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3</v>
      </c>
    </row>
    <row r="212" spans="2:18" x14ac:dyDescent="0.2">
      <c r="B212" s="22" t="s">
        <v>406</v>
      </c>
      <c r="C212" s="23" t="s">
        <v>407</v>
      </c>
      <c r="D212" s="24">
        <v>259</v>
      </c>
      <c r="E212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259</v>
      </c>
      <c r="F212" s="23"/>
      <c r="G212" s="24"/>
      <c r="H212" s="39"/>
      <c r="I212" s="40"/>
      <c r="J212" s="41"/>
      <c r="K212" s="39"/>
      <c r="L212" s="40"/>
      <c r="M212" s="41"/>
      <c r="N212" s="39"/>
      <c r="O212" s="40"/>
      <c r="P212" s="41"/>
      <c r="Q212" s="39"/>
      <c r="R212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13" spans="2:18" x14ac:dyDescent="0.2">
      <c r="B213" s="29" t="s">
        <v>408</v>
      </c>
      <c r="C213" s="30" t="s">
        <v>409</v>
      </c>
      <c r="D213" s="31">
        <v>128</v>
      </c>
      <c r="E213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116</v>
      </c>
      <c r="F213" s="30"/>
      <c r="G213" s="31"/>
      <c r="H213" s="42"/>
      <c r="I213" s="43"/>
      <c r="J213" s="44"/>
      <c r="K213" s="42"/>
      <c r="L213" s="43"/>
      <c r="M213" s="44"/>
      <c r="N213" s="42"/>
      <c r="O213" s="43"/>
      <c r="P213" s="44"/>
      <c r="Q213" s="42">
        <v>12</v>
      </c>
      <c r="R213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12</v>
      </c>
    </row>
    <row r="214" spans="2:18" x14ac:dyDescent="0.2">
      <c r="B214" s="22" t="s">
        <v>410</v>
      </c>
      <c r="C214" s="23" t="s">
        <v>411</v>
      </c>
      <c r="D214" s="24">
        <v>123</v>
      </c>
      <c r="E214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108</v>
      </c>
      <c r="F214" s="23"/>
      <c r="G214" s="24"/>
      <c r="H214" s="39"/>
      <c r="I214" s="40"/>
      <c r="J214" s="41"/>
      <c r="K214" s="39"/>
      <c r="L214" s="40"/>
      <c r="M214" s="41"/>
      <c r="N214" s="39"/>
      <c r="O214" s="40">
        <v>5</v>
      </c>
      <c r="P214" s="41"/>
      <c r="Q214" s="39">
        <v>10</v>
      </c>
      <c r="R214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15</v>
      </c>
    </row>
    <row r="215" spans="2:18" ht="13.5" customHeight="1" x14ac:dyDescent="0.2">
      <c r="B215" s="29" t="s">
        <v>412</v>
      </c>
      <c r="C215" s="30" t="s">
        <v>413</v>
      </c>
      <c r="D215" s="31">
        <v>88</v>
      </c>
      <c r="E215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84</v>
      </c>
      <c r="F215" s="30"/>
      <c r="G215" s="31"/>
      <c r="H215" s="42"/>
      <c r="I215" s="43"/>
      <c r="J215" s="44"/>
      <c r="K215" s="42"/>
      <c r="L215" s="43"/>
      <c r="M215" s="44"/>
      <c r="N215" s="42"/>
      <c r="O215" s="43">
        <v>2</v>
      </c>
      <c r="P215" s="44"/>
      <c r="Q215" s="42">
        <v>2</v>
      </c>
      <c r="R215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4</v>
      </c>
    </row>
    <row r="216" spans="2:18" x14ac:dyDescent="0.2">
      <c r="B216" s="22" t="s">
        <v>414</v>
      </c>
      <c r="C216" s="23" t="s">
        <v>415</v>
      </c>
      <c r="D216" s="24">
        <v>34</v>
      </c>
      <c r="E216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14</v>
      </c>
      <c r="F216" s="23"/>
      <c r="G216" s="24"/>
      <c r="H216" s="39"/>
      <c r="I216" s="40"/>
      <c r="J216" s="41"/>
      <c r="K216" s="39"/>
      <c r="L216" s="40"/>
      <c r="M216" s="41"/>
      <c r="N216" s="39"/>
      <c r="O216" s="40">
        <v>5</v>
      </c>
      <c r="P216" s="41"/>
      <c r="Q216" s="39">
        <v>15</v>
      </c>
      <c r="R216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20</v>
      </c>
    </row>
    <row r="217" spans="2:18" x14ac:dyDescent="0.2">
      <c r="B217" s="29" t="s">
        <v>416</v>
      </c>
      <c r="C217" s="30" t="s">
        <v>417</v>
      </c>
      <c r="D217" s="31">
        <v>24</v>
      </c>
      <c r="E217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17</v>
      </c>
      <c r="F217" s="30"/>
      <c r="G217" s="31"/>
      <c r="H217" s="42"/>
      <c r="I217" s="43"/>
      <c r="J217" s="44"/>
      <c r="K217" s="42"/>
      <c r="L217" s="43"/>
      <c r="M217" s="44"/>
      <c r="N217" s="42"/>
      <c r="O217" s="43"/>
      <c r="P217" s="44"/>
      <c r="Q217" s="42">
        <v>7</v>
      </c>
      <c r="R217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7</v>
      </c>
    </row>
    <row r="218" spans="2:18" ht="13.5" customHeight="1" x14ac:dyDescent="0.2">
      <c r="B218" s="22" t="s">
        <v>418</v>
      </c>
      <c r="C218" s="23" t="s">
        <v>419</v>
      </c>
      <c r="D218" s="24">
        <v>9</v>
      </c>
      <c r="E218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31</v>
      </c>
      <c r="F218" s="23"/>
      <c r="G218" s="24"/>
      <c r="H218" s="39"/>
      <c r="I218" s="40"/>
      <c r="J218" s="41"/>
      <c r="K218" s="39"/>
      <c r="L218" s="40"/>
      <c r="M218" s="41"/>
      <c r="N218" s="39">
        <v>29</v>
      </c>
      <c r="O218" s="40"/>
      <c r="P218" s="41"/>
      <c r="Q218" s="39">
        <v>7</v>
      </c>
      <c r="R218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7</v>
      </c>
    </row>
    <row r="219" spans="2:18" ht="12" customHeight="1" x14ac:dyDescent="0.2">
      <c r="B219" s="29" t="s">
        <v>420</v>
      </c>
      <c r="C219" s="30" t="s">
        <v>421</v>
      </c>
      <c r="D219" s="31">
        <v>0</v>
      </c>
      <c r="E219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4</v>
      </c>
      <c r="F219" s="30"/>
      <c r="G219" s="31"/>
      <c r="H219" s="42"/>
      <c r="I219" s="43"/>
      <c r="J219" s="44"/>
      <c r="K219" s="42"/>
      <c r="L219" s="43"/>
      <c r="M219" s="44"/>
      <c r="N219" s="42">
        <v>11</v>
      </c>
      <c r="O219" s="43"/>
      <c r="P219" s="44"/>
      <c r="Q219" s="42">
        <v>7</v>
      </c>
      <c r="R219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7</v>
      </c>
    </row>
    <row r="220" spans="2:18" ht="13.5" customHeight="1" x14ac:dyDescent="0.2">
      <c r="B220" s="22" t="s">
        <v>422</v>
      </c>
      <c r="C220" s="23" t="s">
        <v>423</v>
      </c>
      <c r="D220" s="24">
        <v>135</v>
      </c>
      <c r="E220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121</v>
      </c>
      <c r="F220" s="23"/>
      <c r="G220" s="24"/>
      <c r="H220" s="39"/>
      <c r="I220" s="40"/>
      <c r="J220" s="41"/>
      <c r="K220" s="39"/>
      <c r="L220" s="40"/>
      <c r="M220" s="41"/>
      <c r="N220" s="39"/>
      <c r="O220" s="40"/>
      <c r="P220" s="41"/>
      <c r="Q220" s="39">
        <v>14</v>
      </c>
      <c r="R220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14</v>
      </c>
    </row>
    <row r="221" spans="2:18" x14ac:dyDescent="0.2">
      <c r="B221" s="29" t="s">
        <v>424</v>
      </c>
      <c r="C221" s="30" t="s">
        <v>425</v>
      </c>
      <c r="D221" s="31">
        <v>0</v>
      </c>
      <c r="E221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21" s="30"/>
      <c r="G221" s="31"/>
      <c r="H221" s="42"/>
      <c r="I221" s="43"/>
      <c r="J221" s="44"/>
      <c r="K221" s="42"/>
      <c r="L221" s="43"/>
      <c r="M221" s="44"/>
      <c r="N221" s="42"/>
      <c r="O221" s="43"/>
      <c r="P221" s="44"/>
      <c r="Q221" s="42"/>
      <c r="R221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22" spans="2:18" x14ac:dyDescent="0.2">
      <c r="B222" s="22" t="s">
        <v>426</v>
      </c>
      <c r="C222" s="23" t="s">
        <v>427</v>
      </c>
      <c r="D222" s="24">
        <v>8</v>
      </c>
      <c r="E222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20</v>
      </c>
      <c r="F222" s="23"/>
      <c r="G222" s="24"/>
      <c r="H222" s="39"/>
      <c r="I222" s="40"/>
      <c r="J222" s="41"/>
      <c r="K222" s="39"/>
      <c r="L222" s="40"/>
      <c r="M222" s="41"/>
      <c r="N222" s="39">
        <v>14</v>
      </c>
      <c r="O222" s="40"/>
      <c r="P222" s="41"/>
      <c r="Q222" s="39">
        <v>2</v>
      </c>
      <c r="R222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2</v>
      </c>
    </row>
    <row r="223" spans="2:18" x14ac:dyDescent="0.2">
      <c r="B223" s="29" t="s">
        <v>428</v>
      </c>
      <c r="C223" s="30" t="s">
        <v>429</v>
      </c>
      <c r="D223" s="31">
        <v>8</v>
      </c>
      <c r="E223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7</v>
      </c>
      <c r="F223" s="30"/>
      <c r="G223" s="31"/>
      <c r="H223" s="42"/>
      <c r="I223" s="43"/>
      <c r="J223" s="44"/>
      <c r="K223" s="42"/>
      <c r="L223" s="43"/>
      <c r="M223" s="44"/>
      <c r="N223" s="42"/>
      <c r="O223" s="43"/>
      <c r="P223" s="44"/>
      <c r="Q223" s="42">
        <v>1</v>
      </c>
      <c r="R223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1</v>
      </c>
    </row>
    <row r="224" spans="2:18" x14ac:dyDescent="0.2">
      <c r="B224" s="22" t="s">
        <v>430</v>
      </c>
      <c r="C224" s="23" t="s">
        <v>431</v>
      </c>
      <c r="D224" s="24">
        <v>42</v>
      </c>
      <c r="E224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42</v>
      </c>
      <c r="F224" s="23"/>
      <c r="G224" s="24"/>
      <c r="H224" s="39"/>
      <c r="I224" s="40"/>
      <c r="J224" s="41"/>
      <c r="K224" s="39"/>
      <c r="L224" s="40"/>
      <c r="M224" s="41"/>
      <c r="N224" s="39"/>
      <c r="O224" s="40"/>
      <c r="P224" s="41"/>
      <c r="Q224" s="39"/>
      <c r="R224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25" spans="2:18" x14ac:dyDescent="0.2">
      <c r="B225" s="29" t="s">
        <v>432</v>
      </c>
      <c r="C225" s="30" t="s">
        <v>433</v>
      </c>
      <c r="D225" s="31">
        <v>82</v>
      </c>
      <c r="E225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75</v>
      </c>
      <c r="F225" s="30"/>
      <c r="G225" s="31"/>
      <c r="H225" s="42"/>
      <c r="I225" s="43"/>
      <c r="J225" s="44"/>
      <c r="K225" s="42"/>
      <c r="L225" s="43"/>
      <c r="M225" s="44"/>
      <c r="N225" s="42"/>
      <c r="O225" s="43"/>
      <c r="P225" s="44"/>
      <c r="Q225" s="42">
        <v>7</v>
      </c>
      <c r="R225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7</v>
      </c>
    </row>
    <row r="226" spans="2:18" x14ac:dyDescent="0.2">
      <c r="B226" s="22" t="s">
        <v>434</v>
      </c>
      <c r="C226" s="23" t="s">
        <v>435</v>
      </c>
      <c r="D226" s="24">
        <v>159</v>
      </c>
      <c r="E226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156</v>
      </c>
      <c r="F226" s="23"/>
      <c r="G226" s="24"/>
      <c r="H226" s="39"/>
      <c r="I226" s="40"/>
      <c r="J226" s="41"/>
      <c r="K226" s="39"/>
      <c r="L226" s="40"/>
      <c r="M226" s="41"/>
      <c r="N226" s="39"/>
      <c r="O226" s="40"/>
      <c r="P226" s="41"/>
      <c r="Q226" s="39">
        <v>3</v>
      </c>
      <c r="R226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3</v>
      </c>
    </row>
    <row r="227" spans="2:18" x14ac:dyDescent="0.2">
      <c r="B227" s="29" t="s">
        <v>436</v>
      </c>
      <c r="C227" s="30" t="s">
        <v>437</v>
      </c>
      <c r="D227" s="31">
        <v>27</v>
      </c>
      <c r="E227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34</v>
      </c>
      <c r="F227" s="30"/>
      <c r="G227" s="31"/>
      <c r="H227" s="42"/>
      <c r="I227" s="43"/>
      <c r="J227" s="44"/>
      <c r="K227" s="42"/>
      <c r="L227" s="43"/>
      <c r="M227" s="44"/>
      <c r="N227" s="42">
        <v>10</v>
      </c>
      <c r="O227" s="43"/>
      <c r="P227" s="44"/>
      <c r="Q227" s="42">
        <v>3</v>
      </c>
      <c r="R227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3</v>
      </c>
    </row>
    <row r="228" spans="2:18" x14ac:dyDescent="0.2">
      <c r="B228" s="22" t="s">
        <v>438</v>
      </c>
      <c r="C228" s="23" t="s">
        <v>439</v>
      </c>
      <c r="D228" s="24">
        <v>0</v>
      </c>
      <c r="E228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28" s="23"/>
      <c r="G228" s="24"/>
      <c r="H228" s="39"/>
      <c r="I228" s="40"/>
      <c r="J228" s="41"/>
      <c r="K228" s="39"/>
      <c r="L228" s="40"/>
      <c r="M228" s="41"/>
      <c r="N228" s="39"/>
      <c r="O228" s="40"/>
      <c r="P228" s="41"/>
      <c r="Q228" s="39"/>
      <c r="R228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29" spans="2:18" x14ac:dyDescent="0.2">
      <c r="B229" s="29" t="s">
        <v>440</v>
      </c>
      <c r="C229" s="30" t="s">
        <v>441</v>
      </c>
      <c r="D229" s="31">
        <v>0</v>
      </c>
      <c r="E229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29" s="30"/>
      <c r="G229" s="31"/>
      <c r="H229" s="42"/>
      <c r="I229" s="43"/>
      <c r="J229" s="44"/>
      <c r="K229" s="42"/>
      <c r="L229" s="43"/>
      <c r="M229" s="44"/>
      <c r="N229" s="42"/>
      <c r="O229" s="43"/>
      <c r="P229" s="44"/>
      <c r="Q229" s="42"/>
      <c r="R229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30" spans="2:18" x14ac:dyDescent="0.2">
      <c r="B230" s="22" t="s">
        <v>442</v>
      </c>
      <c r="C230" s="23" t="s">
        <v>443</v>
      </c>
      <c r="D230" s="24">
        <v>0</v>
      </c>
      <c r="E230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30" s="23"/>
      <c r="G230" s="24"/>
      <c r="H230" s="39"/>
      <c r="I230" s="40"/>
      <c r="J230" s="41"/>
      <c r="K230" s="39"/>
      <c r="L230" s="40"/>
      <c r="M230" s="41"/>
      <c r="N230" s="39"/>
      <c r="O230" s="40"/>
      <c r="P230" s="41"/>
      <c r="Q230" s="39"/>
      <c r="R230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31" spans="2:18" x14ac:dyDescent="0.2">
      <c r="B231" s="29" t="s">
        <v>444</v>
      </c>
      <c r="C231" s="30" t="s">
        <v>445</v>
      </c>
      <c r="D231" s="31">
        <v>0</v>
      </c>
      <c r="E231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31" s="30"/>
      <c r="G231" s="31"/>
      <c r="H231" s="42"/>
      <c r="I231" s="43"/>
      <c r="J231" s="44"/>
      <c r="K231" s="42"/>
      <c r="L231" s="43"/>
      <c r="M231" s="44"/>
      <c r="N231" s="42"/>
      <c r="O231" s="43"/>
      <c r="P231" s="44"/>
      <c r="Q231" s="42"/>
      <c r="R231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32" spans="2:18" x14ac:dyDescent="0.2">
      <c r="B232" s="22" t="s">
        <v>446</v>
      </c>
      <c r="C232" s="23" t="s">
        <v>447</v>
      </c>
      <c r="D232" s="24">
        <v>0</v>
      </c>
      <c r="E232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32" s="23"/>
      <c r="G232" s="24"/>
      <c r="H232" s="39"/>
      <c r="I232" s="40"/>
      <c r="J232" s="41"/>
      <c r="K232" s="39"/>
      <c r="L232" s="40"/>
      <c r="M232" s="41"/>
      <c r="N232" s="39"/>
      <c r="O232" s="40"/>
      <c r="P232" s="41"/>
      <c r="Q232" s="39"/>
      <c r="R232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33" spans="2:18" x14ac:dyDescent="0.2">
      <c r="B233" s="29" t="s">
        <v>448</v>
      </c>
      <c r="C233" s="30" t="s">
        <v>449</v>
      </c>
      <c r="D233" s="31">
        <v>0</v>
      </c>
      <c r="E233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33" s="30"/>
      <c r="G233" s="31"/>
      <c r="H233" s="42"/>
      <c r="I233" s="43"/>
      <c r="J233" s="44"/>
      <c r="K233" s="42"/>
      <c r="L233" s="43"/>
      <c r="M233" s="44"/>
      <c r="N233" s="42"/>
      <c r="O233" s="43"/>
      <c r="P233" s="44"/>
      <c r="Q233" s="42"/>
      <c r="R233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34" spans="2:18" x14ac:dyDescent="0.2">
      <c r="B234" s="22" t="s">
        <v>450</v>
      </c>
      <c r="C234" s="23" t="s">
        <v>451</v>
      </c>
      <c r="D234" s="24">
        <v>0</v>
      </c>
      <c r="E234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34" s="23"/>
      <c r="G234" s="24"/>
      <c r="H234" s="39"/>
      <c r="I234" s="40"/>
      <c r="J234" s="41"/>
      <c r="K234" s="39"/>
      <c r="L234" s="40"/>
      <c r="M234" s="41"/>
      <c r="N234" s="39"/>
      <c r="O234" s="40"/>
      <c r="P234" s="41"/>
      <c r="Q234" s="39"/>
      <c r="R234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35" spans="2:18" x14ac:dyDescent="0.2">
      <c r="B235" s="29" t="s">
        <v>452</v>
      </c>
      <c r="C235" s="30" t="s">
        <v>453</v>
      </c>
      <c r="D235" s="31">
        <v>0</v>
      </c>
      <c r="E235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35" s="30"/>
      <c r="G235" s="31"/>
      <c r="H235" s="42"/>
      <c r="I235" s="43"/>
      <c r="J235" s="44"/>
      <c r="K235" s="42"/>
      <c r="L235" s="43"/>
      <c r="M235" s="44"/>
      <c r="N235" s="42"/>
      <c r="O235" s="43"/>
      <c r="P235" s="44"/>
      <c r="Q235" s="42"/>
      <c r="R235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36" spans="2:18" x14ac:dyDescent="0.2">
      <c r="B236" s="22" t="s">
        <v>454</v>
      </c>
      <c r="C236" s="23" t="s">
        <v>455</v>
      </c>
      <c r="D236" s="24">
        <v>0</v>
      </c>
      <c r="E236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36" s="23"/>
      <c r="G236" s="24"/>
      <c r="H236" s="39"/>
      <c r="I236" s="40"/>
      <c r="J236" s="41"/>
      <c r="K236" s="39"/>
      <c r="L236" s="40"/>
      <c r="M236" s="41"/>
      <c r="N236" s="39"/>
      <c r="O236" s="40"/>
      <c r="P236" s="41"/>
      <c r="Q236" s="39"/>
      <c r="R236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37" spans="2:18" x14ac:dyDescent="0.2">
      <c r="B237" s="29" t="s">
        <v>456</v>
      </c>
      <c r="C237" s="30" t="s">
        <v>457</v>
      </c>
      <c r="D237" s="31">
        <v>0</v>
      </c>
      <c r="E237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37" s="30"/>
      <c r="G237" s="31"/>
      <c r="H237" s="42"/>
      <c r="I237" s="43"/>
      <c r="J237" s="44"/>
      <c r="K237" s="42"/>
      <c r="L237" s="43"/>
      <c r="M237" s="44"/>
      <c r="N237" s="42"/>
      <c r="O237" s="43"/>
      <c r="P237" s="44"/>
      <c r="Q237" s="42"/>
      <c r="R237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38" spans="2:18" x14ac:dyDescent="0.2">
      <c r="B238" s="22" t="s">
        <v>458</v>
      </c>
      <c r="C238" s="23" t="s">
        <v>459</v>
      </c>
      <c r="D238" s="24">
        <v>0</v>
      </c>
      <c r="E238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38" s="23"/>
      <c r="G238" s="24"/>
      <c r="H238" s="39"/>
      <c r="I238" s="40"/>
      <c r="J238" s="41"/>
      <c r="K238" s="39"/>
      <c r="L238" s="40"/>
      <c r="M238" s="41"/>
      <c r="N238" s="39"/>
      <c r="O238" s="40"/>
      <c r="P238" s="41"/>
      <c r="Q238" s="39"/>
      <c r="R238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39" spans="2:18" x14ac:dyDescent="0.2">
      <c r="B239" s="29" t="s">
        <v>460</v>
      </c>
      <c r="C239" s="30" t="s">
        <v>461</v>
      </c>
      <c r="D239" s="31">
        <v>0</v>
      </c>
      <c r="E239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39" s="30"/>
      <c r="G239" s="31"/>
      <c r="H239" s="42"/>
      <c r="I239" s="43"/>
      <c r="J239" s="44"/>
      <c r="K239" s="42"/>
      <c r="L239" s="43"/>
      <c r="M239" s="44"/>
      <c r="N239" s="42"/>
      <c r="O239" s="43"/>
      <c r="P239" s="44"/>
      <c r="Q239" s="42"/>
      <c r="R239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40" spans="2:18" x14ac:dyDescent="0.2">
      <c r="B240" s="22" t="s">
        <v>462</v>
      </c>
      <c r="C240" s="23" t="s">
        <v>463</v>
      </c>
      <c r="D240" s="24">
        <v>0</v>
      </c>
      <c r="E240" s="25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40" s="23"/>
      <c r="G240" s="24"/>
      <c r="H240" s="39"/>
      <c r="I240" s="40"/>
      <c r="J240" s="41"/>
      <c r="K240" s="39"/>
      <c r="L240" s="40"/>
      <c r="M240" s="41"/>
      <c r="N240" s="39"/>
      <c r="O240" s="40"/>
      <c r="P240" s="41"/>
      <c r="Q240" s="39"/>
      <c r="R240" s="23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41" spans="2:18" x14ac:dyDescent="0.2">
      <c r="B241" s="29" t="s">
        <v>464</v>
      </c>
      <c r="C241" s="30" t="s">
        <v>465</v>
      </c>
      <c r="D241" s="31">
        <v>0</v>
      </c>
      <c r="E241" s="32">
        <f>Tabla1346891624324250586674829098106114122130138146154138162170178186194162170178202210218226234242250258266274282290298306314322330338344352360368376384[[#This Row],[INVENTARIO INICIAL]]+Tabla1346891624324250586674829098106114122130138146154138162170178186194162170178202210218226234242250258266274282290298306314322330338344352360368376384[[#This Row],[INGRESO LUNES]]-Tabla1346891624324250586674829098106114122130138146154138162170178186194162170178202210218226234242250258266274282290298306314322330338344352360368376384[[#This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Row],[INGRESO MARTES]]-Tabla1346891624324250586674829098106114122130138146154138162170178186194162170178202210218226234242250258266274282290298306314322330338344352360368376384[[#This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Row],[INGRESO MIERCOLES]]-Tabla1346891624324250586674829098106114122130138146154138162170178186194162170178202210218226234242250258266274282290298306314322330338344352360368376384[[#This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Row],[INGRESO JUEVES]]-Tabla1346891624324250586674829098106114122130138146154138162170178186194162170178202210218226234242250258266274282290298306314322330338344352360368376384[[#This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Row],[INGRESO VIERNES]]-Tabla1346891624324250586674829098106114122130138146154138162170178186194162170178202210218226234242250258266274282290298306314322330338344352360368376384[[#This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Row],[INGRESO SABADO]]-Tabla1346891624324250586674829098106114122130138146154138162170178186194162170178202210218226234242250258266274282290298306314322330338344352360368376384[[#This Row],[SALIDA SABADO]]</f>
        <v>0</v>
      </c>
      <c r="F241" s="30"/>
      <c r="G241" s="31"/>
      <c r="H241" s="42"/>
      <c r="I241" s="43"/>
      <c r="J241" s="44"/>
      <c r="K241" s="42"/>
      <c r="L241" s="43"/>
      <c r="M241" s="44"/>
      <c r="N241" s="42"/>
      <c r="O241" s="43"/>
      <c r="P241" s="44"/>
      <c r="Q241" s="42"/>
      <c r="R241" s="30">
        <f>Tabla1346891624324250586674829098106114122130138146154138162170178186194162170178202210218226234242250258266274282290298306314322330338344352360368376384[[#This Row],[VENTA LUNES]]+Tabla1346891624324250586674829098106114122130138146154138162170178186194162170178202210218226234242250258266274282290298306314322330338344352360368376384[[#This Row],[VENTA MARTES]]+Tabla1346891624324250586674829098106114122130138146154138162170178186194162170178202210218226234242250258266274282290298306314322330338344352360368376384[[#This Row],[VENTA MIERCOLES]]+Tabla1346891624324250586674829098106114122130138146154138162170178186194162170178202210218226234242250258266274282290298306314322330338344352360368376384[[#This Row],[VENTA JUEVES]]+Tabla1346891624324250586674829098106114122130138146154138162170178186194162170178202210218226234242250258266274282290298306314322330338344352360368376384[[#This Row],[SALIDA VIERNES]]+Tabla1346891624324250586674829098106114122130138146154138162170178186194162170178202210218226234242250258266274282290298306314322330338344352360368376384[[#This Row],[SALIDA SABADO]]</f>
        <v>0</v>
      </c>
    </row>
    <row r="243" spans="2:18" s="54" customFormat="1" ht="38.25" x14ac:dyDescent="0.2">
      <c r="B243" s="17" t="s">
        <v>466</v>
      </c>
      <c r="C243" s="17" t="s">
        <v>5</v>
      </c>
      <c r="D243" s="17" t="s">
        <v>6</v>
      </c>
      <c r="E243" s="55" t="s">
        <v>7</v>
      </c>
      <c r="F243" s="17" t="s">
        <v>8</v>
      </c>
      <c r="G243" s="17" t="s">
        <v>51</v>
      </c>
      <c r="H243" s="17" t="s">
        <v>10</v>
      </c>
      <c r="I243" s="17" t="s">
        <v>11</v>
      </c>
      <c r="J243" s="17" t="s">
        <v>12</v>
      </c>
      <c r="K243" s="17" t="s">
        <v>13</v>
      </c>
      <c r="L243" s="17" t="s">
        <v>14</v>
      </c>
      <c r="M243" s="17" t="s">
        <v>15</v>
      </c>
      <c r="N243" s="17" t="s">
        <v>16</v>
      </c>
      <c r="O243" s="17" t="s">
        <v>17</v>
      </c>
      <c r="P243" s="17" t="s">
        <v>18</v>
      </c>
      <c r="Q243" s="17" t="s">
        <v>19</v>
      </c>
      <c r="R243" s="17" t="s">
        <v>20</v>
      </c>
    </row>
    <row r="244" spans="2:18" x14ac:dyDescent="0.2">
      <c r="B244" s="29" t="s">
        <v>467</v>
      </c>
      <c r="C244" s="30" t="s">
        <v>468</v>
      </c>
      <c r="D244" s="31">
        <v>267</v>
      </c>
      <c r="E244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261</v>
      </c>
      <c r="F244" s="30"/>
      <c r="G244" s="31"/>
      <c r="H244" s="42"/>
      <c r="I244" s="43"/>
      <c r="J244" s="44"/>
      <c r="K244" s="42"/>
      <c r="L244" s="43"/>
      <c r="M244" s="44"/>
      <c r="N244" s="42"/>
      <c r="O244" s="43"/>
      <c r="P244" s="44"/>
      <c r="Q244" s="42">
        <v>6</v>
      </c>
      <c r="R244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6</v>
      </c>
    </row>
    <row r="245" spans="2:18" x14ac:dyDescent="0.2">
      <c r="B245" s="22" t="s">
        <v>469</v>
      </c>
      <c r="C245" s="23" t="s">
        <v>470</v>
      </c>
      <c r="D245" s="24">
        <v>299</v>
      </c>
      <c r="E245" s="25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293</v>
      </c>
      <c r="F245" s="23"/>
      <c r="G245" s="24"/>
      <c r="H245" s="39"/>
      <c r="I245" s="40"/>
      <c r="J245" s="41"/>
      <c r="K245" s="39"/>
      <c r="L245" s="40"/>
      <c r="M245" s="41"/>
      <c r="N245" s="39"/>
      <c r="O245" s="40"/>
      <c r="P245" s="41"/>
      <c r="Q245" s="39">
        <v>6</v>
      </c>
      <c r="R245" s="23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6</v>
      </c>
    </row>
    <row r="246" spans="2:18" x14ac:dyDescent="0.2">
      <c r="B246" s="29" t="s">
        <v>471</v>
      </c>
      <c r="C246" s="30" t="s">
        <v>472</v>
      </c>
      <c r="D246" s="31">
        <v>219</v>
      </c>
      <c r="E246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213</v>
      </c>
      <c r="F246" s="30"/>
      <c r="G246" s="31"/>
      <c r="H246" s="42"/>
      <c r="I246" s="43"/>
      <c r="J246" s="44"/>
      <c r="K246" s="42"/>
      <c r="L246" s="43"/>
      <c r="M246" s="44"/>
      <c r="N246" s="42"/>
      <c r="O246" s="43"/>
      <c r="P246" s="44"/>
      <c r="Q246" s="42">
        <v>6</v>
      </c>
      <c r="R246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6</v>
      </c>
    </row>
    <row r="247" spans="2:18" x14ac:dyDescent="0.2">
      <c r="B247" s="22" t="s">
        <v>473</v>
      </c>
      <c r="C247" s="23" t="s">
        <v>474</v>
      </c>
      <c r="D247" s="24">
        <v>197</v>
      </c>
      <c r="E247" s="25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192</v>
      </c>
      <c r="F247" s="23"/>
      <c r="G247" s="24"/>
      <c r="H247" s="39"/>
      <c r="I247" s="40"/>
      <c r="J247" s="41"/>
      <c r="K247" s="39"/>
      <c r="L247" s="40"/>
      <c r="M247" s="41"/>
      <c r="N247" s="39"/>
      <c r="O247" s="40"/>
      <c r="P247" s="41"/>
      <c r="Q247" s="39">
        <v>5</v>
      </c>
      <c r="R247" s="23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5</v>
      </c>
    </row>
    <row r="248" spans="2:18" x14ac:dyDescent="0.2">
      <c r="B248" s="29" t="s">
        <v>475</v>
      </c>
      <c r="C248" s="30" t="s">
        <v>476</v>
      </c>
      <c r="D248" s="31">
        <v>621</v>
      </c>
      <c r="E248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617</v>
      </c>
      <c r="F248" s="30"/>
      <c r="G248" s="31"/>
      <c r="H248" s="42"/>
      <c r="I248" s="43"/>
      <c r="J248" s="44"/>
      <c r="K248" s="42"/>
      <c r="L248" s="43"/>
      <c r="M248" s="44"/>
      <c r="N248" s="42"/>
      <c r="O248" s="43"/>
      <c r="P248" s="44"/>
      <c r="Q248" s="42">
        <v>4</v>
      </c>
      <c r="R248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4</v>
      </c>
    </row>
    <row r="249" spans="2:18" x14ac:dyDescent="0.2">
      <c r="B249" s="22" t="s">
        <v>477</v>
      </c>
      <c r="C249" s="23" t="s">
        <v>478</v>
      </c>
      <c r="D249" s="24">
        <v>270</v>
      </c>
      <c r="E249" s="25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268</v>
      </c>
      <c r="F249" s="23"/>
      <c r="G249" s="24"/>
      <c r="H249" s="39"/>
      <c r="I249" s="40"/>
      <c r="J249" s="41"/>
      <c r="K249" s="39"/>
      <c r="L249" s="40"/>
      <c r="M249" s="41"/>
      <c r="N249" s="39"/>
      <c r="O249" s="40"/>
      <c r="P249" s="41"/>
      <c r="Q249" s="39">
        <v>2</v>
      </c>
      <c r="R249" s="23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2</v>
      </c>
    </row>
    <row r="250" spans="2:18" x14ac:dyDescent="0.2">
      <c r="B250" s="29" t="s">
        <v>479</v>
      </c>
      <c r="C250" s="30" t="s">
        <v>480</v>
      </c>
      <c r="D250" s="31">
        <v>279</v>
      </c>
      <c r="E250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274</v>
      </c>
      <c r="F250" s="30"/>
      <c r="G250" s="31"/>
      <c r="H250" s="42"/>
      <c r="I250" s="43"/>
      <c r="J250" s="44"/>
      <c r="K250" s="42"/>
      <c r="L250" s="43"/>
      <c r="M250" s="44"/>
      <c r="N250" s="42"/>
      <c r="O250" s="43"/>
      <c r="P250" s="44"/>
      <c r="Q250" s="42">
        <v>5</v>
      </c>
      <c r="R250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5</v>
      </c>
    </row>
    <row r="251" spans="2:18" x14ac:dyDescent="0.2">
      <c r="B251" s="22" t="s">
        <v>481</v>
      </c>
      <c r="C251" s="23" t="s">
        <v>482</v>
      </c>
      <c r="D251" s="24">
        <v>1045</v>
      </c>
      <c r="E251" s="25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1037</v>
      </c>
      <c r="F251" s="23"/>
      <c r="G251" s="24"/>
      <c r="H251" s="39"/>
      <c r="I251" s="40"/>
      <c r="J251" s="41"/>
      <c r="K251" s="39"/>
      <c r="L251" s="40"/>
      <c r="M251" s="41"/>
      <c r="N251" s="39"/>
      <c r="O251" s="40"/>
      <c r="P251" s="41"/>
      <c r="Q251" s="39">
        <v>8</v>
      </c>
      <c r="R251" s="23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8</v>
      </c>
    </row>
    <row r="252" spans="2:18" x14ac:dyDescent="0.2">
      <c r="B252" s="29" t="s">
        <v>483</v>
      </c>
      <c r="C252" s="30" t="s">
        <v>484</v>
      </c>
      <c r="D252" s="31">
        <v>729</v>
      </c>
      <c r="E252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725</v>
      </c>
      <c r="F252" s="30"/>
      <c r="G252" s="31"/>
      <c r="H252" s="42"/>
      <c r="I252" s="43"/>
      <c r="J252" s="44"/>
      <c r="K252" s="42"/>
      <c r="L252" s="43"/>
      <c r="M252" s="44"/>
      <c r="N252" s="42"/>
      <c r="O252" s="43"/>
      <c r="P252" s="44"/>
      <c r="Q252" s="42">
        <v>4</v>
      </c>
      <c r="R252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4</v>
      </c>
    </row>
    <row r="253" spans="2:18" x14ac:dyDescent="0.2">
      <c r="B253" s="22" t="s">
        <v>485</v>
      </c>
      <c r="C253" s="23" t="s">
        <v>486</v>
      </c>
      <c r="D253" s="24">
        <v>591</v>
      </c>
      <c r="E253" s="25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589</v>
      </c>
      <c r="F253" s="23"/>
      <c r="G253" s="24"/>
      <c r="H253" s="39"/>
      <c r="I253" s="40"/>
      <c r="J253" s="41"/>
      <c r="K253" s="39"/>
      <c r="L253" s="40"/>
      <c r="M253" s="41"/>
      <c r="N253" s="39"/>
      <c r="O253" s="40"/>
      <c r="P253" s="41"/>
      <c r="Q253" s="39">
        <v>2</v>
      </c>
      <c r="R253" s="23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2</v>
      </c>
    </row>
    <row r="254" spans="2:18" x14ac:dyDescent="0.2">
      <c r="B254" s="29" t="s">
        <v>487</v>
      </c>
      <c r="C254" s="30" t="s">
        <v>488</v>
      </c>
      <c r="D254" s="31">
        <v>243</v>
      </c>
      <c r="E254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241</v>
      </c>
      <c r="F254" s="30"/>
      <c r="G254" s="31"/>
      <c r="H254" s="42"/>
      <c r="I254" s="43"/>
      <c r="J254" s="44"/>
      <c r="K254" s="42"/>
      <c r="L254" s="43"/>
      <c r="M254" s="44"/>
      <c r="N254" s="42"/>
      <c r="O254" s="43"/>
      <c r="P254" s="44"/>
      <c r="Q254" s="42">
        <v>2</v>
      </c>
      <c r="R254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2</v>
      </c>
    </row>
    <row r="255" spans="2:18" x14ac:dyDescent="0.2">
      <c r="B255" s="22" t="s">
        <v>489</v>
      </c>
      <c r="C255" s="23" t="s">
        <v>490</v>
      </c>
      <c r="D255" s="24">
        <v>351</v>
      </c>
      <c r="E255" s="25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350</v>
      </c>
      <c r="F255" s="23"/>
      <c r="G255" s="24"/>
      <c r="H255" s="39"/>
      <c r="I255" s="40"/>
      <c r="J255" s="41"/>
      <c r="K255" s="39"/>
      <c r="L255" s="40"/>
      <c r="M255" s="41"/>
      <c r="N255" s="39"/>
      <c r="O255" s="40"/>
      <c r="P255" s="41"/>
      <c r="Q255" s="39">
        <v>1</v>
      </c>
      <c r="R255" s="23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1</v>
      </c>
    </row>
    <row r="256" spans="2:18" x14ac:dyDescent="0.2">
      <c r="B256" s="29" t="s">
        <v>491</v>
      </c>
      <c r="C256" s="30" t="s">
        <v>492</v>
      </c>
      <c r="D256" s="31">
        <v>118</v>
      </c>
      <c r="E256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117</v>
      </c>
      <c r="F256" s="30"/>
      <c r="G256" s="31"/>
      <c r="H256" s="42"/>
      <c r="I256" s="43"/>
      <c r="J256" s="44"/>
      <c r="K256" s="42"/>
      <c r="L256" s="43"/>
      <c r="M256" s="44"/>
      <c r="N256" s="42"/>
      <c r="O256" s="43"/>
      <c r="P256" s="44"/>
      <c r="Q256" s="42">
        <v>1</v>
      </c>
      <c r="R256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1</v>
      </c>
    </row>
    <row r="257" spans="2:18" x14ac:dyDescent="0.2">
      <c r="B257" s="22" t="s">
        <v>493</v>
      </c>
      <c r="C257" s="23" t="s">
        <v>494</v>
      </c>
      <c r="D257" s="24">
        <v>225</v>
      </c>
      <c r="E257" s="25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224</v>
      </c>
      <c r="F257" s="23"/>
      <c r="G257" s="24"/>
      <c r="H257" s="39"/>
      <c r="I257" s="40"/>
      <c r="J257" s="41"/>
      <c r="K257" s="39"/>
      <c r="L257" s="40"/>
      <c r="M257" s="41"/>
      <c r="N257" s="39"/>
      <c r="O257" s="40"/>
      <c r="P257" s="41"/>
      <c r="Q257" s="39">
        <v>1</v>
      </c>
      <c r="R257" s="23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1</v>
      </c>
    </row>
    <row r="258" spans="2:18" x14ac:dyDescent="0.2">
      <c r="B258" s="29" t="s">
        <v>495</v>
      </c>
      <c r="C258" s="30" t="s">
        <v>496</v>
      </c>
      <c r="D258" s="31">
        <v>356</v>
      </c>
      <c r="E258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355</v>
      </c>
      <c r="F258" s="30"/>
      <c r="G258" s="31"/>
      <c r="H258" s="42"/>
      <c r="I258" s="43"/>
      <c r="J258" s="44"/>
      <c r="K258" s="42"/>
      <c r="L258" s="43"/>
      <c r="M258" s="44"/>
      <c r="N258" s="42"/>
      <c r="O258" s="43"/>
      <c r="P258" s="44"/>
      <c r="Q258" s="42">
        <v>1</v>
      </c>
      <c r="R258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1</v>
      </c>
    </row>
    <row r="259" spans="2:18" x14ac:dyDescent="0.2">
      <c r="B259" s="22" t="s">
        <v>497</v>
      </c>
      <c r="C259" s="23" t="s">
        <v>498</v>
      </c>
      <c r="D259" s="24">
        <v>432</v>
      </c>
      <c r="E259" s="25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432</v>
      </c>
      <c r="F259" s="23"/>
      <c r="G259" s="24"/>
      <c r="H259" s="39"/>
      <c r="I259" s="40"/>
      <c r="J259" s="41"/>
      <c r="K259" s="39"/>
      <c r="L259" s="40"/>
      <c r="M259" s="41"/>
      <c r="N259" s="39"/>
      <c r="O259" s="40"/>
      <c r="P259" s="41"/>
      <c r="Q259" s="39"/>
      <c r="R259" s="23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0</v>
      </c>
    </row>
    <row r="260" spans="2:18" x14ac:dyDescent="0.2">
      <c r="B260" s="29" t="s">
        <v>499</v>
      </c>
      <c r="C260" s="30" t="s">
        <v>500</v>
      </c>
      <c r="D260" s="31">
        <v>837</v>
      </c>
      <c r="E260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837</v>
      </c>
      <c r="F260" s="30"/>
      <c r="G260" s="31"/>
      <c r="H260" s="42"/>
      <c r="I260" s="43"/>
      <c r="J260" s="44"/>
      <c r="K260" s="42"/>
      <c r="L260" s="43"/>
      <c r="M260" s="44"/>
      <c r="N260" s="42"/>
      <c r="O260" s="43"/>
      <c r="P260" s="44"/>
      <c r="Q260" s="42"/>
      <c r="R260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0</v>
      </c>
    </row>
    <row r="261" spans="2:18" x14ac:dyDescent="0.2">
      <c r="B261" s="22" t="s">
        <v>501</v>
      </c>
      <c r="C261" s="23" t="s">
        <v>502</v>
      </c>
      <c r="D261" s="24">
        <v>389</v>
      </c>
      <c r="E261" s="25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389</v>
      </c>
      <c r="F261" s="23"/>
      <c r="G261" s="24"/>
      <c r="H261" s="39"/>
      <c r="I261" s="40"/>
      <c r="J261" s="41"/>
      <c r="K261" s="39"/>
      <c r="L261" s="40"/>
      <c r="M261" s="41"/>
      <c r="N261" s="39"/>
      <c r="O261" s="40"/>
      <c r="P261" s="41"/>
      <c r="Q261" s="39"/>
      <c r="R261" s="23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0</v>
      </c>
    </row>
    <row r="262" spans="2:18" x14ac:dyDescent="0.2">
      <c r="B262" s="29" t="s">
        <v>503</v>
      </c>
      <c r="C262" s="30" t="s">
        <v>504</v>
      </c>
      <c r="D262" s="31">
        <v>249</v>
      </c>
      <c r="E262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249</v>
      </c>
      <c r="F262" s="30"/>
      <c r="G262" s="31"/>
      <c r="H262" s="42"/>
      <c r="I262" s="43"/>
      <c r="J262" s="44"/>
      <c r="K262" s="42"/>
      <c r="L262" s="43"/>
      <c r="M262" s="44"/>
      <c r="N262" s="42"/>
      <c r="O262" s="43"/>
      <c r="P262" s="44"/>
      <c r="Q262" s="42"/>
      <c r="R262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0</v>
      </c>
    </row>
    <row r="263" spans="2:18" x14ac:dyDescent="0.2">
      <c r="B263" s="22" t="s">
        <v>505</v>
      </c>
      <c r="C263" s="23" t="s">
        <v>506</v>
      </c>
      <c r="D263" s="24">
        <v>465</v>
      </c>
      <c r="E263" s="25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465</v>
      </c>
      <c r="F263" s="23"/>
      <c r="G263" s="24"/>
      <c r="H263" s="39"/>
      <c r="I263" s="40"/>
      <c r="J263" s="41"/>
      <c r="K263" s="39"/>
      <c r="L263" s="40"/>
      <c r="M263" s="41"/>
      <c r="N263" s="39"/>
      <c r="O263" s="40"/>
      <c r="P263" s="41"/>
      <c r="Q263" s="39"/>
      <c r="R263" s="23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0</v>
      </c>
    </row>
    <row r="264" spans="2:18" x14ac:dyDescent="0.2">
      <c r="B264" s="29" t="s">
        <v>507</v>
      </c>
      <c r="C264" s="30" t="s">
        <v>508</v>
      </c>
      <c r="D264" s="31">
        <v>108</v>
      </c>
      <c r="E264" s="32">
        <f>Tabla134689101725334351596775839199107115123131139147155139163171179187195163171179203211219227235243251259267275283291299307315323331339345353361369377385[[#This Row],[INVENTARIO INICIAL]]+Tabla134689101725334351596775839199107115123131139147155139163171179187195163171179203211219227235243251259267275283291299307315323331339345353361369377385[[#This Row],[INGRESO LUNES]]-Tabla134689101725334351596775839199107115123131139147155139163171179187195163171179203211219227235243251259267275283291299307315323331339345353361369377385[[#This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Row],[INGRESO MARTES]]-Tabla134689101725334351596775839199107115123131139147155139163171179187195163171179203211219227235243251259267275283291299307315323331339345353361369377385[[#This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Row],[INGRESO MIERCOLES]]-Tabla134689101725334351596775839199107115123131139147155139163171179187195163171179203211219227235243251259267275283291299307315323331339345353361369377385[[#This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Row],[INGRESO JUEVES]]-Tabla134689101725334351596775839199107115123131139147155139163171179187195163171179203211219227235243251259267275283291299307315323331339345353361369377385[[#This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Row],[INGRESO VIERNES]]-Tabla134689101725334351596775839199107115123131139147155139163171179187195163171179203211219227235243251259267275283291299307315323331339345353361369377385[[#This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 INGRESO SABADO]]-Tabla134689101725334351596775839199107115123131139147155139163171179187195163171179203211219227235243251259267275283291299307315323331339345353361369377385[[#This Row],[VENTA SABADO]]</f>
        <v>108</v>
      </c>
      <c r="F264" s="30"/>
      <c r="G264" s="31"/>
      <c r="H264" s="42"/>
      <c r="I264" s="43"/>
      <c r="J264" s="44"/>
      <c r="K264" s="42"/>
      <c r="L264" s="43"/>
      <c r="M264" s="44"/>
      <c r="N264" s="42"/>
      <c r="O264" s="43"/>
      <c r="P264" s="44"/>
      <c r="Q264" s="42"/>
      <c r="R264" s="30">
        <f>Tabla134689101725334351596775839199107115123131139147155139163171179187195163171179203211219227235243251259267275283291299307315323331339345353361369377385[[#This Row],[VENTA LUNES]]+Tabla134689101725334351596775839199107115123131139147155139163171179187195163171179203211219227235243251259267275283291299307315323331339345353361369377385[[#This Row],[VENTA MARTES]]+Tabla134689101725334351596775839199107115123131139147155139163171179187195163171179203211219227235243251259267275283291299307315323331339345353361369377385[[#This Row],[VENTA MIERCOLES]]+Tabla134689101725334351596775839199107115123131139147155139163171179187195163171179203211219227235243251259267275283291299307315323331339345353361369377385[[#This Row],[VENTA JUEVES]]+Tabla134689101725334351596775839199107115123131139147155139163171179187195163171179203211219227235243251259267275283291299307315323331339345353361369377385[[#This Row],[VENTA VIERNES]]+Tabla134689101725334351596775839199107115123131139147155139163171179187195163171179203211219227235243251259267275283291299307315323331339345353361369377385[[#This Row],[VENTA SABADO]]</f>
        <v>0</v>
      </c>
    </row>
  </sheetData>
  <mergeCells count="5">
    <mergeCell ref="B1:G2"/>
    <mergeCell ref="B4:B5"/>
    <mergeCell ref="C4:D4"/>
    <mergeCell ref="C5:D5"/>
    <mergeCell ref="S20:V20"/>
  </mergeCells>
  <conditionalFormatting sqref="E26:E29">
    <cfRule type="cellIs" dxfId="1349" priority="29" operator="lessThan">
      <formula>51</formula>
    </cfRule>
    <cfRule type="cellIs" dxfId="1348" priority="30" operator="lessThan">
      <formula>0</formula>
    </cfRule>
  </conditionalFormatting>
  <conditionalFormatting sqref="E30:E39">
    <cfRule type="cellIs" dxfId="1347" priority="27" operator="lessThan">
      <formula>51</formula>
    </cfRule>
    <cfRule type="cellIs" dxfId="1346" priority="28" operator="lessThan">
      <formula>0</formula>
    </cfRule>
  </conditionalFormatting>
  <conditionalFormatting sqref="E40:E56">
    <cfRule type="cellIs" dxfId="1345" priority="25" operator="lessThan">
      <formula>51</formula>
    </cfRule>
    <cfRule type="cellIs" dxfId="1344" priority="26" operator="lessThan">
      <formula>0</formula>
    </cfRule>
  </conditionalFormatting>
  <conditionalFormatting sqref="E59:E61">
    <cfRule type="cellIs" dxfId="1343" priority="23" operator="lessThan">
      <formula>51</formula>
    </cfRule>
    <cfRule type="cellIs" dxfId="1342" priority="24" operator="lessThan">
      <formula>0</formula>
    </cfRule>
  </conditionalFormatting>
  <conditionalFormatting sqref="E62:E71">
    <cfRule type="cellIs" dxfId="1341" priority="21" operator="lessThan">
      <formula>51</formula>
    </cfRule>
    <cfRule type="cellIs" dxfId="1340" priority="22" operator="lessThan">
      <formula>0</formula>
    </cfRule>
  </conditionalFormatting>
  <conditionalFormatting sqref="E72:E88">
    <cfRule type="cellIs" dxfId="1339" priority="19" operator="lessThan">
      <formula>51</formula>
    </cfRule>
    <cfRule type="cellIs" dxfId="1338" priority="20" operator="lessThan">
      <formula>0</formula>
    </cfRule>
  </conditionalFormatting>
  <conditionalFormatting sqref="E89:E92">
    <cfRule type="cellIs" dxfId="1337" priority="17" operator="lessThan">
      <formula>51</formula>
    </cfRule>
    <cfRule type="cellIs" dxfId="1336" priority="18" operator="lessThan">
      <formula>0</formula>
    </cfRule>
  </conditionalFormatting>
  <conditionalFormatting sqref="E93:E96">
    <cfRule type="cellIs" dxfId="1335" priority="15" operator="lessThan">
      <formula>51</formula>
    </cfRule>
    <cfRule type="cellIs" dxfId="1334" priority="16" operator="lessThan">
      <formula>0</formula>
    </cfRule>
  </conditionalFormatting>
  <conditionalFormatting sqref="E99:E134">
    <cfRule type="cellIs" dxfId="1333" priority="13" operator="lessThan">
      <formula>51</formula>
    </cfRule>
    <cfRule type="cellIs" dxfId="1332" priority="14" operator="lessThan">
      <formula>0</formula>
    </cfRule>
  </conditionalFormatting>
  <conditionalFormatting sqref="E137:E151">
    <cfRule type="cellIs" dxfId="1331" priority="11" operator="lessThan">
      <formula>51</formula>
    </cfRule>
    <cfRule type="cellIs" dxfId="1330" priority="12" operator="lessThan">
      <formula>0</formula>
    </cfRule>
  </conditionalFormatting>
  <conditionalFormatting sqref="E154:E193">
    <cfRule type="cellIs" dxfId="1329" priority="9" operator="lessThan">
      <formula>51</formula>
    </cfRule>
    <cfRule type="cellIs" dxfId="1328" priority="10" operator="lessThan">
      <formula>0</formula>
    </cfRule>
  </conditionalFormatting>
  <conditionalFormatting sqref="E235:E241">
    <cfRule type="cellIs" dxfId="1327" priority="7" operator="lessThan">
      <formula>51</formula>
    </cfRule>
    <cfRule type="cellIs" dxfId="1326" priority="8" operator="lessThan">
      <formula>0</formula>
    </cfRule>
  </conditionalFormatting>
  <conditionalFormatting sqref="E196:E234">
    <cfRule type="cellIs" dxfId="1325" priority="5" operator="lessThan">
      <formula>51</formula>
    </cfRule>
    <cfRule type="cellIs" dxfId="1324" priority="6" operator="lessThan">
      <formula>0</formula>
    </cfRule>
  </conditionalFormatting>
  <conditionalFormatting sqref="E244:E264">
    <cfRule type="cellIs" dxfId="1323" priority="3" operator="lessThan">
      <formula>51</formula>
    </cfRule>
    <cfRule type="cellIs" dxfId="1322" priority="4" operator="lessThan">
      <formula>0</formula>
    </cfRule>
  </conditionalFormatting>
  <conditionalFormatting sqref="E10:E23">
    <cfRule type="cellIs" dxfId="1321" priority="1" operator="lessThan">
      <formula>51</formula>
    </cfRule>
    <cfRule type="cellIs" dxfId="1320" priority="2" operator="lessThan">
      <formula>0</formula>
    </cfRule>
  </conditionalFormatting>
  <pageMargins left="0.5" right="0.5" top="0.5" bottom="0.5" header="0.5" footer="0.5"/>
  <pageSetup orientation="landscape" horizontalDpi="360" verticalDpi="360" r:id="rId1"/>
  <headerFooter alignWithMargins="0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F0B9-9B43-4AC7-B59A-75A31B25034E}">
  <sheetPr>
    <pageSetUpPr autoPageBreaks="0"/>
  </sheetPr>
  <dimension ref="A1:V264"/>
  <sheetViews>
    <sheetView showGridLines="0" topLeftCell="A3" zoomScale="170" zoomScaleNormal="170" workbookViewId="0">
      <pane xSplit="5" ySplit="6" topLeftCell="Q52" activePane="bottomRight" state="frozen"/>
      <selection activeCell="A3" sqref="A3"/>
      <selection pane="topRight" activeCell="F3" sqref="F3"/>
      <selection pane="bottomLeft" activeCell="A8" sqref="A8"/>
      <selection pane="bottomRight" activeCell="Q55" sqref="Q55"/>
    </sheetView>
  </sheetViews>
  <sheetFormatPr baseColWidth="10" defaultColWidth="9.140625" defaultRowHeight="12.75" x14ac:dyDescent="0.2"/>
  <cols>
    <col min="1" max="1" width="1.7109375" customWidth="1"/>
    <col min="2" max="2" width="50.140625" customWidth="1"/>
    <col min="3" max="3" width="8" customWidth="1"/>
    <col min="4" max="4" width="11.140625" style="56" customWidth="1"/>
    <col min="5" max="5" width="16.28515625" style="57" customWidth="1"/>
    <col min="6" max="6" width="11.140625" style="3" customWidth="1"/>
    <col min="7" max="7" width="11" style="3" customWidth="1"/>
    <col min="8" max="8" width="11.85546875" style="3" customWidth="1"/>
    <col min="9" max="9" width="11.5703125" style="3" customWidth="1"/>
    <col min="10" max="10" width="14.42578125" style="3" customWidth="1"/>
    <col min="11" max="11" width="13.85546875" style="3" customWidth="1"/>
    <col min="12" max="12" width="11.7109375" style="3" customWidth="1"/>
    <col min="13" max="13" width="11.28515625" style="3" customWidth="1"/>
    <col min="14" max="15" width="12" style="3" customWidth="1"/>
    <col min="16" max="16" width="11.85546875" style="3" customWidth="1"/>
    <col min="17" max="17" width="12.42578125" style="3" customWidth="1"/>
    <col min="18" max="18" width="12.7109375" style="3" customWidth="1"/>
  </cols>
  <sheetData>
    <row r="1" spans="1:18" ht="8.1" customHeight="1" x14ac:dyDescent="0.2">
      <c r="A1" s="1"/>
      <c r="B1" s="66" t="s">
        <v>0</v>
      </c>
      <c r="C1" s="66"/>
      <c r="D1" s="66"/>
      <c r="E1" s="66"/>
      <c r="F1" s="66"/>
      <c r="G1" s="66"/>
      <c r="H1" s="2"/>
      <c r="I1" s="2"/>
      <c r="J1" s="2"/>
    </row>
    <row r="2" spans="1:18" ht="51.95" customHeight="1" x14ac:dyDescent="0.2">
      <c r="A2" s="1"/>
      <c r="B2" s="66"/>
      <c r="C2" s="66"/>
      <c r="D2" s="66"/>
      <c r="E2" s="66"/>
      <c r="F2" s="66"/>
      <c r="G2" s="66"/>
      <c r="H2" s="2"/>
      <c r="I2" s="2"/>
      <c r="J2" s="2"/>
    </row>
    <row r="3" spans="1:18" ht="8.1" customHeight="1" x14ac:dyDescent="0.2">
      <c r="A3" s="4"/>
      <c r="B3" s="5"/>
      <c r="C3" s="5"/>
      <c r="D3" s="6"/>
      <c r="E3" s="7"/>
      <c r="F3" s="2"/>
      <c r="G3" s="2"/>
      <c r="H3" s="2"/>
      <c r="I3" s="2"/>
      <c r="J3" s="2"/>
    </row>
    <row r="4" spans="1:18" ht="22.5" customHeight="1" x14ac:dyDescent="0.2">
      <c r="A4" s="4"/>
      <c r="B4" s="67" t="s">
        <v>1</v>
      </c>
      <c r="C4" s="69" t="s">
        <v>2</v>
      </c>
      <c r="D4" s="70"/>
      <c r="E4" s="8"/>
      <c r="F4" s="9"/>
    </row>
    <row r="5" spans="1:18" ht="17.25" customHeight="1" x14ac:dyDescent="0.2">
      <c r="A5" s="4"/>
      <c r="B5" s="68"/>
      <c r="C5" s="71" t="s">
        <v>3</v>
      </c>
      <c r="D5" s="72"/>
      <c r="E5" s="10"/>
      <c r="F5" s="9"/>
    </row>
    <row r="6" spans="1:18" ht="8.25" customHeight="1" x14ac:dyDescent="0.2">
      <c r="A6" s="4"/>
      <c r="B6" s="11"/>
      <c r="C6" s="9"/>
      <c r="D6" s="9"/>
      <c r="E6" s="12"/>
      <c r="F6" s="9"/>
    </row>
    <row r="7" spans="1:18" ht="18.75" customHeight="1" x14ac:dyDescent="0.2">
      <c r="A7" s="4"/>
      <c r="D7" s="13"/>
      <c r="E7" s="13"/>
      <c r="F7" s="9"/>
      <c r="G7" s="14"/>
      <c r="H7" s="14"/>
      <c r="I7" s="14"/>
      <c r="J7" s="15"/>
    </row>
    <row r="8" spans="1:18" ht="15.95" customHeight="1" x14ac:dyDescent="0.2">
      <c r="A8" s="4"/>
      <c r="C8" s="13"/>
      <c r="D8" s="13"/>
      <c r="E8" s="13"/>
      <c r="F8" s="9"/>
      <c r="G8" s="14"/>
      <c r="H8" s="14"/>
      <c r="I8" s="14"/>
      <c r="J8" s="15"/>
    </row>
    <row r="9" spans="1:18" ht="38.25" customHeight="1" x14ac:dyDescent="0.2">
      <c r="A9" s="4"/>
      <c r="B9" s="16" t="s">
        <v>4</v>
      </c>
      <c r="C9" s="17" t="s">
        <v>5</v>
      </c>
      <c r="D9" s="18" t="s">
        <v>6</v>
      </c>
      <c r="E9" s="19" t="s">
        <v>7</v>
      </c>
      <c r="F9" s="20" t="s">
        <v>8</v>
      </c>
      <c r="G9" s="20" t="s">
        <v>9</v>
      </c>
      <c r="H9" s="20" t="s">
        <v>10</v>
      </c>
      <c r="I9" s="20" t="s">
        <v>11</v>
      </c>
      <c r="J9" s="20" t="s">
        <v>12</v>
      </c>
      <c r="K9" s="20" t="s">
        <v>13</v>
      </c>
      <c r="L9" s="20" t="s">
        <v>14</v>
      </c>
      <c r="M9" s="20" t="s">
        <v>15</v>
      </c>
      <c r="N9" s="20" t="s">
        <v>16</v>
      </c>
      <c r="O9" s="20" t="s">
        <v>17</v>
      </c>
      <c r="P9" s="20" t="s">
        <v>18</v>
      </c>
      <c r="Q9" s="20" t="s">
        <v>19</v>
      </c>
      <c r="R9" s="21" t="s">
        <v>20</v>
      </c>
    </row>
    <row r="10" spans="1:18" ht="15.75" customHeight="1" x14ac:dyDescent="0.2">
      <c r="A10" s="4"/>
      <c r="B10" s="22" t="s">
        <v>21</v>
      </c>
      <c r="C10" s="23" t="s">
        <v>22</v>
      </c>
      <c r="D10" s="24">
        <f>STOCK6876849210010811612413214014813215616417218018815616417219620421222022823624425226026827628429230030831632433234346354362370378[[#This Row],[STOCK]]</f>
        <v>502</v>
      </c>
      <c r="E10" s="25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456</v>
      </c>
      <c r="F10" s="26"/>
      <c r="G10" s="23"/>
      <c r="H10" s="27"/>
      <c r="I10" s="23"/>
      <c r="J10" s="23"/>
      <c r="K10" s="23">
        <v>25</v>
      </c>
      <c r="L10" s="23"/>
      <c r="M10" s="23">
        <v>13</v>
      </c>
      <c r="N10" s="23"/>
      <c r="O10" s="23">
        <v>3</v>
      </c>
      <c r="P10" s="23"/>
      <c r="Q10" s="23">
        <v>5</v>
      </c>
      <c r="R10" s="28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46</v>
      </c>
    </row>
    <row r="11" spans="1:18" ht="15.75" customHeight="1" x14ac:dyDescent="0.2">
      <c r="A11" s="4"/>
      <c r="B11" s="29" t="s">
        <v>23</v>
      </c>
      <c r="C11" s="30" t="s">
        <v>24</v>
      </c>
      <c r="D11" s="31">
        <f>STOCK6876849210010811612413214014813215616417218018815616417219620421222022823624425226026827628429230030831632433234346354362370378[[#This Row],[STOCK]]</f>
        <v>367</v>
      </c>
      <c r="E11" s="32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345</v>
      </c>
      <c r="F11" s="33"/>
      <c r="G11" s="30"/>
      <c r="H11" s="34"/>
      <c r="I11" s="30"/>
      <c r="J11" s="30"/>
      <c r="K11" s="30">
        <v>9</v>
      </c>
      <c r="L11" s="30"/>
      <c r="M11" s="30">
        <v>5</v>
      </c>
      <c r="N11" s="30"/>
      <c r="O11" s="30">
        <v>3</v>
      </c>
      <c r="P11" s="30"/>
      <c r="Q11" s="30">
        <v>5</v>
      </c>
      <c r="R11" s="35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22</v>
      </c>
    </row>
    <row r="12" spans="1:18" ht="15.75" customHeight="1" x14ac:dyDescent="0.2">
      <c r="A12" s="4"/>
      <c r="B12" s="22" t="s">
        <v>25</v>
      </c>
      <c r="C12" s="23" t="s">
        <v>26</v>
      </c>
      <c r="D12" s="24">
        <f>STOCK6876849210010811612413214014813215616417218018815616417219620421222022823624425226026827628429230030831632433234346354362370378[[#This Row],[STOCK]]</f>
        <v>222</v>
      </c>
      <c r="E12" s="25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173</v>
      </c>
      <c r="F12" s="26"/>
      <c r="G12" s="23"/>
      <c r="H12" s="27"/>
      <c r="I12" s="23"/>
      <c r="J12" s="23"/>
      <c r="K12" s="23">
        <v>21</v>
      </c>
      <c r="L12" s="23"/>
      <c r="M12" s="23">
        <v>6</v>
      </c>
      <c r="N12" s="23"/>
      <c r="O12" s="23">
        <v>9</v>
      </c>
      <c r="P12" s="23"/>
      <c r="Q12" s="23">
        <v>13</v>
      </c>
      <c r="R12" s="28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49</v>
      </c>
    </row>
    <row r="13" spans="1:18" ht="16.5" customHeight="1" x14ac:dyDescent="0.2">
      <c r="A13" s="4"/>
      <c r="B13" s="29" t="s">
        <v>27</v>
      </c>
      <c r="C13" s="30" t="s">
        <v>28</v>
      </c>
      <c r="D13" s="31">
        <f>STOCK6876849210010811612413214014813215616417218018815616417219620421222022823624425226026827628429230030831632433234346354362370378[[#This Row],[STOCK]]</f>
        <v>0</v>
      </c>
      <c r="E13" s="32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0</v>
      </c>
      <c r="F13" s="33"/>
      <c r="G13" s="30"/>
      <c r="H13" s="34"/>
      <c r="I13" s="30"/>
      <c r="J13" s="30"/>
      <c r="K13" s="30"/>
      <c r="L13" s="30"/>
      <c r="M13" s="30"/>
      <c r="N13" s="30"/>
      <c r="O13" s="30"/>
      <c r="P13" s="30"/>
      <c r="Q13" s="30"/>
      <c r="R13" s="35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0</v>
      </c>
    </row>
    <row r="14" spans="1:18" ht="15.75" customHeight="1" x14ac:dyDescent="0.2">
      <c r="A14" s="4"/>
      <c r="B14" s="22" t="s">
        <v>29</v>
      </c>
      <c r="C14" s="23" t="s">
        <v>30</v>
      </c>
      <c r="D14" s="24">
        <f>STOCK6876849210010811612413214014813215616417218018815616417219620421222022823624425226026827628429230030831632433234346354362370378[[#This Row],[STOCK]]</f>
        <v>148</v>
      </c>
      <c r="E14" s="25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54</v>
      </c>
      <c r="F14" s="26"/>
      <c r="G14" s="23"/>
      <c r="H14" s="27"/>
      <c r="I14" s="23">
        <v>18</v>
      </c>
      <c r="J14" s="23"/>
      <c r="K14" s="23">
        <v>33</v>
      </c>
      <c r="L14" s="23"/>
      <c r="M14" s="23">
        <v>20</v>
      </c>
      <c r="N14" s="23"/>
      <c r="O14" s="23">
        <v>19</v>
      </c>
      <c r="P14" s="23"/>
      <c r="Q14" s="23">
        <v>4</v>
      </c>
      <c r="R14" s="28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94</v>
      </c>
    </row>
    <row r="15" spans="1:18" ht="15.75" customHeight="1" x14ac:dyDescent="0.2">
      <c r="A15" s="4"/>
      <c r="B15" s="29" t="s">
        <v>31</v>
      </c>
      <c r="C15" s="30" t="s">
        <v>32</v>
      </c>
      <c r="D15" s="31">
        <f>STOCK6876849210010811612413214014813215616417218018815616417219620421222022823624425226026827628429230030831632433234346354362370378[[#This Row],[STOCK]]</f>
        <v>200</v>
      </c>
      <c r="E15" s="32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154</v>
      </c>
      <c r="F15" s="33"/>
      <c r="G15" s="30"/>
      <c r="H15" s="34"/>
      <c r="I15" s="30">
        <v>7</v>
      </c>
      <c r="J15" s="30"/>
      <c r="K15" s="30">
        <v>19</v>
      </c>
      <c r="L15" s="30"/>
      <c r="M15" s="30">
        <v>8</v>
      </c>
      <c r="N15" s="30"/>
      <c r="O15" s="30">
        <v>12</v>
      </c>
      <c r="P15" s="30"/>
      <c r="Q15" s="30"/>
      <c r="R15" s="35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46</v>
      </c>
    </row>
    <row r="16" spans="1:18" ht="16.5" customHeight="1" x14ac:dyDescent="0.2">
      <c r="A16" s="4"/>
      <c r="B16" s="22" t="s">
        <v>33</v>
      </c>
      <c r="C16" s="23" t="s">
        <v>34</v>
      </c>
      <c r="D16" s="24">
        <f>STOCK6876849210010811612413214014813215616417218018815616417219620421222022823624425226026827628429230030831632433234346354362370378[[#This Row],[STOCK]]</f>
        <v>77</v>
      </c>
      <c r="E16" s="25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0</v>
      </c>
      <c r="F16" s="26"/>
      <c r="G16" s="23"/>
      <c r="H16" s="27"/>
      <c r="I16" s="23">
        <v>12</v>
      </c>
      <c r="J16" s="23"/>
      <c r="K16" s="23">
        <v>32</v>
      </c>
      <c r="L16" s="23"/>
      <c r="M16" s="23">
        <v>18</v>
      </c>
      <c r="N16" s="23"/>
      <c r="O16" s="23">
        <v>15</v>
      </c>
      <c r="P16" s="23"/>
      <c r="Q16" s="23"/>
      <c r="R16" s="28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77</v>
      </c>
    </row>
    <row r="17" spans="1:22" ht="15.75" customHeight="1" x14ac:dyDescent="0.2">
      <c r="A17" s="4"/>
      <c r="B17" s="22" t="s">
        <v>35</v>
      </c>
      <c r="C17" s="23" t="s">
        <v>36</v>
      </c>
      <c r="D17" s="24">
        <f>STOCK6876849210010811612413214014813215616417218018815616417219620421222022823624425226026827628429230030831632433234346354362370378[[#This Row],[STOCK]]</f>
        <v>347</v>
      </c>
      <c r="E17" s="25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323</v>
      </c>
      <c r="F17" s="26"/>
      <c r="G17" s="23"/>
      <c r="H17" s="27"/>
      <c r="I17" s="23"/>
      <c r="J17" s="23"/>
      <c r="K17" s="23">
        <v>17</v>
      </c>
      <c r="L17" s="23"/>
      <c r="M17" s="23">
        <v>2</v>
      </c>
      <c r="N17" s="23"/>
      <c r="O17" s="23"/>
      <c r="P17" s="23"/>
      <c r="Q17" s="23">
        <v>5</v>
      </c>
      <c r="R17" s="28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24</v>
      </c>
    </row>
    <row r="18" spans="1:22" ht="15.75" customHeight="1" x14ac:dyDescent="0.2">
      <c r="A18" s="36"/>
      <c r="B18" s="29" t="s">
        <v>37</v>
      </c>
      <c r="C18" s="30" t="s">
        <v>38</v>
      </c>
      <c r="D18" s="31">
        <f>STOCK6876849210010811612413214014813215616417218018815616417219620421222022823624425226026827628429230030831632433234346354362370378[[#This Row],[STOCK]]</f>
        <v>91</v>
      </c>
      <c r="E18" s="32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75</v>
      </c>
      <c r="F18" s="33"/>
      <c r="G18" s="30"/>
      <c r="H18" s="34"/>
      <c r="I18" s="30"/>
      <c r="J18" s="30"/>
      <c r="K18" s="30">
        <v>9</v>
      </c>
      <c r="L18" s="30"/>
      <c r="M18" s="30">
        <v>2</v>
      </c>
      <c r="N18" s="30"/>
      <c r="O18" s="30"/>
      <c r="P18" s="30"/>
      <c r="Q18" s="30">
        <v>5</v>
      </c>
      <c r="R18" s="35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16</v>
      </c>
    </row>
    <row r="19" spans="1:22" ht="15.75" customHeight="1" x14ac:dyDescent="0.2">
      <c r="A19" s="4" t="s">
        <v>39</v>
      </c>
      <c r="B19" s="22" t="s">
        <v>40</v>
      </c>
      <c r="C19" s="23" t="s">
        <v>41</v>
      </c>
      <c r="D19" s="24">
        <f>STOCK6876849210010811612413214014813215616417218018815616417219620421222022823624425226026827628429230030831632433234346354362370378[[#This Row],[STOCK]]</f>
        <v>132</v>
      </c>
      <c r="E19" s="25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82</v>
      </c>
      <c r="F19" s="26"/>
      <c r="G19" s="23"/>
      <c r="H19" s="27"/>
      <c r="I19" s="23">
        <v>3</v>
      </c>
      <c r="J19" s="23"/>
      <c r="K19" s="23">
        <v>19</v>
      </c>
      <c r="L19" s="23"/>
      <c r="M19" s="23">
        <v>2</v>
      </c>
      <c r="N19" s="23"/>
      <c r="O19" s="23">
        <v>15</v>
      </c>
      <c r="P19" s="23"/>
      <c r="Q19" s="23">
        <v>11</v>
      </c>
      <c r="R19" s="28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50</v>
      </c>
    </row>
    <row r="20" spans="1:22" ht="15" customHeight="1" x14ac:dyDescent="0.2">
      <c r="A20" s="4"/>
      <c r="B20" s="22" t="s">
        <v>42</v>
      </c>
      <c r="C20" s="23" t="s">
        <v>43</v>
      </c>
      <c r="D20" s="24">
        <f>STOCK6876849210010811612413214014813215616417218018815616417219620421222022823624425226026827628429230030831632433234346354362370378[[#This Row],[STOCK]]</f>
        <v>361</v>
      </c>
      <c r="E20" s="25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276</v>
      </c>
      <c r="F20" s="26"/>
      <c r="G20" s="23"/>
      <c r="H20" s="27"/>
      <c r="I20" s="23">
        <v>5</v>
      </c>
      <c r="J20" s="23">
        <v>1</v>
      </c>
      <c r="K20" s="23">
        <v>24</v>
      </c>
      <c r="L20" s="23"/>
      <c r="M20" s="23">
        <v>12</v>
      </c>
      <c r="N20" s="23"/>
      <c r="O20" s="23">
        <v>23</v>
      </c>
      <c r="P20" s="23"/>
      <c r="Q20" s="23">
        <v>22</v>
      </c>
      <c r="R20" s="28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86</v>
      </c>
      <c r="S20" s="73"/>
      <c r="T20" s="73"/>
      <c r="U20" s="73"/>
      <c r="V20" s="73"/>
    </row>
    <row r="21" spans="1:22" ht="15.75" customHeight="1" x14ac:dyDescent="0.2">
      <c r="A21" s="4"/>
      <c r="B21" s="29" t="s">
        <v>44</v>
      </c>
      <c r="C21" s="30" t="s">
        <v>45</v>
      </c>
      <c r="D21" s="31">
        <f>STOCK6876849210010811612413214014813215616417218018815616417219620421222022823624425226026827628429230030831632433234346354362370378[[#This Row],[STOCK]]</f>
        <v>110</v>
      </c>
      <c r="E21" s="32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102</v>
      </c>
      <c r="F21" s="33"/>
      <c r="G21" s="30"/>
      <c r="H21" s="34"/>
      <c r="I21" s="30"/>
      <c r="J21" s="30"/>
      <c r="K21" s="30">
        <v>4</v>
      </c>
      <c r="L21" s="30"/>
      <c r="M21" s="30"/>
      <c r="N21" s="30"/>
      <c r="O21" s="30">
        <v>4</v>
      </c>
      <c r="P21" s="30"/>
      <c r="Q21" s="30"/>
      <c r="R21" s="35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8</v>
      </c>
    </row>
    <row r="22" spans="1:22" ht="15.75" customHeight="1" x14ac:dyDescent="0.2">
      <c r="A22" s="4"/>
      <c r="B22" s="22" t="s">
        <v>46</v>
      </c>
      <c r="C22" s="23" t="s">
        <v>47</v>
      </c>
      <c r="D22" s="24">
        <f>STOCK6876849210010811612413214014813215616417218018815616417219620421222022823624425226026827628429230030831632433234346354362370378[[#This Row],[STOCK]]</f>
        <v>138</v>
      </c>
      <c r="E22" s="25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123</v>
      </c>
      <c r="F22" s="26"/>
      <c r="G22" s="23"/>
      <c r="H22" s="27"/>
      <c r="I22" s="23"/>
      <c r="J22" s="23"/>
      <c r="K22" s="23">
        <v>8</v>
      </c>
      <c r="L22" s="23"/>
      <c r="M22" s="23"/>
      <c r="N22" s="23"/>
      <c r="O22" s="23">
        <v>2</v>
      </c>
      <c r="P22" s="23"/>
      <c r="Q22" s="23">
        <v>5</v>
      </c>
      <c r="R22" s="28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15</v>
      </c>
    </row>
    <row r="23" spans="1:22" ht="15.75" customHeight="1" x14ac:dyDescent="0.2">
      <c r="A23" s="4"/>
      <c r="B23" s="29" t="s">
        <v>48</v>
      </c>
      <c r="C23" s="30" t="s">
        <v>49</v>
      </c>
      <c r="D23" s="31">
        <f>STOCK6876849210010811612413214014813215616417218018815616417219620421222022823624425226026827628429230030831632433234346354362370378[[#This Row],[STOCK]]</f>
        <v>142</v>
      </c>
      <c r="E23" s="32">
        <f>STOCK687684921001081161241321401481321561641721801881561641721962042122202282362442522602682762842923003083163243323434635436237037810[[#This Row],[INVENTARIO INICIAL]]+STOCK687684921001081161241321401481321561641721801881561641721962042122202282362442522602682762842923003083163243323434635436237037810[[#This Row],[INGRESO LUNES]]-STOCK687684921001081161241321401481321561641721801881561641721962042122202282362442522602682762842923003083163243323434635436237037810[[#This Row],[VENTA    LUNES]]+STOCK687684921001081161241321401481321561641721801881561641721962042122202282362442522602682762842923003083163243323434635436237037810[[#This Row],[INGRESO MARTES]]-STOCK687684921001081161241321401481321561641721801881561641721962042122202282362442522602682762842923003083163243323434635436237037810[[#This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Row],[INGRESO MIERCOLES]]-STOCK687684921001081161241321401481321561641721801881561641721962042122202282362442522602682762842923003083163243323434635436237037810[[#This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Row],[INGRESO JUEVES]]-STOCK687684921001081161241321401481321561641721801881561641721962042122202282362442522602682762842923003083163243323434635436237037810[[#This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Row],[INGRESO VIERNES]]-STOCK687684921001081161241321401481321561641721801881561641721962042122202282362442522602682762842923003083163243323434635436237037810[[#This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 INGRESO SABADO]]-STOCK687684921001081161241321401481321561641721801881561641721962042122202282362442522602682762842923003083163243323434635436237037810[[#This Row],[VENTA SABADO]]</f>
        <v>131</v>
      </c>
      <c r="F23" s="33"/>
      <c r="G23" s="30"/>
      <c r="H23" s="34"/>
      <c r="I23" s="30"/>
      <c r="J23" s="30"/>
      <c r="K23" s="30">
        <v>5</v>
      </c>
      <c r="L23" s="30"/>
      <c r="M23" s="30"/>
      <c r="N23" s="30"/>
      <c r="O23" s="30">
        <v>6</v>
      </c>
      <c r="P23" s="30"/>
      <c r="Q23" s="30"/>
      <c r="R23" s="35">
        <f>STOCK687684921001081161241321401481321561641721801881561641721962042122202282362442522602682762842923003083163243323434635436237037810[[#This Row],[VENTA    LUNES]]++STOCK687684921001081161241321401481321561641721801881561641721962042122202282362442522602682762842923003083163243323434635436237037810[[#This Row],[VENTA MARTES]]+STOCK687684921001081161241321401481321561641721801881561641721962042122202282362442522602682762842923003083163243323434635436237037810[[#This Row],[VENTA MIERCOLES]]+STOCK687684921001081161241321401481321561641721801881561641721962042122202282362442522602682762842923003083163243323434635436237037810[[#This Row],[VENTA JUEVES]]+STOCK687684921001081161241321401481321561641721801881561641721962042122202282362442522602682762842923003083163243323434635436237037810[[#This Row],[VENTA VIERNES]]+STOCK687684921001081161241321401481321561641721801881561641721962042122202282362442522602682762842923003083163243323434635436237037810[[#This Row],[VENTA SABADO]]</f>
        <v>11</v>
      </c>
    </row>
    <row r="25" spans="1:22" ht="38.25" customHeight="1" x14ac:dyDescent="0.2">
      <c r="B25" s="16" t="s">
        <v>50</v>
      </c>
      <c r="C25" s="17" t="s">
        <v>5</v>
      </c>
      <c r="D25" s="18" t="s">
        <v>6</v>
      </c>
      <c r="E25" s="37" t="s">
        <v>7</v>
      </c>
      <c r="F25" s="38" t="s">
        <v>8</v>
      </c>
      <c r="G25" s="17" t="s">
        <v>51</v>
      </c>
      <c r="H25" s="18" t="s">
        <v>10</v>
      </c>
      <c r="I25" s="38" t="s">
        <v>11</v>
      </c>
      <c r="J25" s="17" t="s">
        <v>12</v>
      </c>
      <c r="K25" s="18" t="s">
        <v>13</v>
      </c>
      <c r="L25" s="17" t="s">
        <v>14</v>
      </c>
      <c r="M25" s="17" t="s">
        <v>15</v>
      </c>
      <c r="N25" s="18" t="s">
        <v>16</v>
      </c>
      <c r="O25" s="18" t="s">
        <v>17</v>
      </c>
      <c r="P25" s="17" t="s">
        <v>18</v>
      </c>
      <c r="Q25" s="18" t="s">
        <v>19</v>
      </c>
      <c r="R25" s="17" t="s">
        <v>20</v>
      </c>
    </row>
    <row r="26" spans="1:22" x14ac:dyDescent="0.2">
      <c r="B26" s="22" t="s">
        <v>52</v>
      </c>
      <c r="C26" s="23" t="s">
        <v>53</v>
      </c>
      <c r="D26" s="24">
        <f>Tabla13111927374553616977859310110911712513314114913315716517318118915716517319720521322122923724525326126927728529330130931732533335347355363371379[[#This Row],[STOCK]]</f>
        <v>205</v>
      </c>
      <c r="E26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205</v>
      </c>
      <c r="F26" s="26"/>
      <c r="G26" s="23"/>
      <c r="H26" s="27"/>
      <c r="I26" s="23"/>
      <c r="J26" s="23"/>
      <c r="K26" s="23"/>
      <c r="L26" s="23"/>
      <c r="M26" s="23"/>
      <c r="N26" s="23"/>
      <c r="O26" s="23"/>
      <c r="P26" s="23"/>
      <c r="Q26" s="23"/>
      <c r="R26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0</v>
      </c>
    </row>
    <row r="27" spans="1:22" x14ac:dyDescent="0.2">
      <c r="B27" s="29" t="s">
        <v>54</v>
      </c>
      <c r="C27" s="30" t="s">
        <v>55</v>
      </c>
      <c r="D27" s="31">
        <f>Tabla13111927374553616977859310110911712513314114913315716517318118915716517319720521322122923724525326126927728529330130931732533335347355363371379[[#This Row],[STOCK]]</f>
        <v>185</v>
      </c>
      <c r="E27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163</v>
      </c>
      <c r="F27" s="33"/>
      <c r="G27" s="30"/>
      <c r="H27" s="34"/>
      <c r="I27" s="30"/>
      <c r="J27" s="30"/>
      <c r="K27" s="30">
        <v>10</v>
      </c>
      <c r="L27" s="30"/>
      <c r="M27" s="30">
        <v>2</v>
      </c>
      <c r="N27" s="30"/>
      <c r="O27" s="30">
        <v>8</v>
      </c>
      <c r="P27" s="30"/>
      <c r="Q27" s="30">
        <v>2</v>
      </c>
      <c r="R27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22</v>
      </c>
    </row>
    <row r="28" spans="1:22" ht="13.5" customHeight="1" x14ac:dyDescent="0.2">
      <c r="B28" s="22" t="s">
        <v>56</v>
      </c>
      <c r="C28" s="23" t="s">
        <v>57</v>
      </c>
      <c r="D28" s="24">
        <f>Tabla13111927374553616977859310110911712513314114913315716517318118915716517319720521322122923724525326126927728529330130931732533335347355363371379[[#This Row],[STOCK]]</f>
        <v>167</v>
      </c>
      <c r="E28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144</v>
      </c>
      <c r="F28" s="26"/>
      <c r="G28" s="23"/>
      <c r="H28" s="27"/>
      <c r="I28" s="23"/>
      <c r="J28" s="23"/>
      <c r="K28" s="23">
        <v>3</v>
      </c>
      <c r="L28" s="23">
        <v>3</v>
      </c>
      <c r="M28" s="23">
        <v>2</v>
      </c>
      <c r="N28" s="23"/>
      <c r="O28" s="23">
        <v>11</v>
      </c>
      <c r="P28" s="23"/>
      <c r="Q28" s="23">
        <v>10</v>
      </c>
      <c r="R28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26</v>
      </c>
    </row>
    <row r="29" spans="1:22" x14ac:dyDescent="0.2">
      <c r="B29" s="29" t="s">
        <v>58</v>
      </c>
      <c r="C29" s="30" t="s">
        <v>59</v>
      </c>
      <c r="D29" s="31">
        <f>Tabla13111927374553616977859310110911712513314114913315716517318118915716517319720521322122923724525326126927728529330130931732533335347355363371379[[#This Row],[STOCK]]</f>
        <v>26</v>
      </c>
      <c r="E29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12</v>
      </c>
      <c r="F29" s="33"/>
      <c r="G29" s="30"/>
      <c r="H29" s="34"/>
      <c r="I29" s="30"/>
      <c r="J29" s="30"/>
      <c r="K29" s="30"/>
      <c r="L29" s="30"/>
      <c r="M29" s="30">
        <v>1</v>
      </c>
      <c r="N29" s="30"/>
      <c r="O29" s="30">
        <v>6</v>
      </c>
      <c r="P29" s="30"/>
      <c r="Q29" s="30">
        <v>7</v>
      </c>
      <c r="R29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14</v>
      </c>
    </row>
    <row r="30" spans="1:22" x14ac:dyDescent="0.2">
      <c r="B30" s="22" t="s">
        <v>60</v>
      </c>
      <c r="C30" s="23" t="s">
        <v>61</v>
      </c>
      <c r="D30" s="24">
        <f>Tabla13111927374553616977859310110911712513314114913315716517318118915716517319720521322122923724525326126927728529330130931732533335347355363371379[[#This Row],[STOCK]]</f>
        <v>22</v>
      </c>
      <c r="E30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22</v>
      </c>
      <c r="F30" s="26"/>
      <c r="G30" s="23"/>
      <c r="H30" s="27"/>
      <c r="I30" s="23"/>
      <c r="J30" s="23"/>
      <c r="K30" s="23"/>
      <c r="L30" s="23"/>
      <c r="M30" s="23"/>
      <c r="N30" s="23"/>
      <c r="O30" s="23"/>
      <c r="P30" s="23"/>
      <c r="Q30" s="23"/>
      <c r="R30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0</v>
      </c>
    </row>
    <row r="31" spans="1:22" x14ac:dyDescent="0.2">
      <c r="B31" s="29" t="s">
        <v>62</v>
      </c>
      <c r="C31" s="30" t="s">
        <v>63</v>
      </c>
      <c r="D31" s="31">
        <f>Tabla13111927374553616977859310110911712513314114913315716517318118915716517319720521322122923724525326126927728529330130931732533335347355363371379[[#This Row],[STOCK]]</f>
        <v>478</v>
      </c>
      <c r="E31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447</v>
      </c>
      <c r="F31" s="33"/>
      <c r="G31" s="30"/>
      <c r="H31" s="34"/>
      <c r="I31" s="30">
        <v>5</v>
      </c>
      <c r="J31" s="30"/>
      <c r="K31" s="30">
        <v>5</v>
      </c>
      <c r="L31" s="30"/>
      <c r="M31" s="30">
        <v>8</v>
      </c>
      <c r="N31" s="30"/>
      <c r="O31" s="30">
        <v>13</v>
      </c>
      <c r="P31" s="30"/>
      <c r="Q31" s="30"/>
      <c r="R31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31</v>
      </c>
    </row>
    <row r="32" spans="1:22" x14ac:dyDescent="0.2">
      <c r="B32" s="22" t="s">
        <v>64</v>
      </c>
      <c r="C32" s="23" t="s">
        <v>65</v>
      </c>
      <c r="D32" s="24">
        <f>Tabla13111927374553616977859310110911712513314114913315716517318118915716517319720521322122923724525326126927728529330130931732533335347355363371379[[#This Row],[STOCK]]</f>
        <v>215</v>
      </c>
      <c r="E32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79</v>
      </c>
      <c r="F32" s="26"/>
      <c r="G32" s="23"/>
      <c r="H32" s="27"/>
      <c r="I32" s="23">
        <v>15</v>
      </c>
      <c r="J32" s="23"/>
      <c r="K32" s="23">
        <v>34</v>
      </c>
      <c r="L32" s="23"/>
      <c r="M32" s="23">
        <v>21</v>
      </c>
      <c r="N32" s="23"/>
      <c r="O32" s="23">
        <v>28</v>
      </c>
      <c r="P32" s="23"/>
      <c r="Q32" s="23">
        <v>38</v>
      </c>
      <c r="R32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136</v>
      </c>
    </row>
    <row r="33" spans="2:18" x14ac:dyDescent="0.2">
      <c r="B33" s="29" t="s">
        <v>66</v>
      </c>
      <c r="C33" s="30" t="s">
        <v>67</v>
      </c>
      <c r="D33" s="31">
        <f>Tabla13111927374553616977859310110911712513314114913315716517318118915716517319720521322122923724525326126927728529330130931732533335347355363371379[[#This Row],[STOCK]]</f>
        <v>122</v>
      </c>
      <c r="E33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107</v>
      </c>
      <c r="F33" s="33"/>
      <c r="G33" s="30"/>
      <c r="H33" s="34"/>
      <c r="I33" s="30"/>
      <c r="J33" s="30"/>
      <c r="K33" s="30">
        <v>8</v>
      </c>
      <c r="L33" s="30"/>
      <c r="M33" s="30">
        <v>4</v>
      </c>
      <c r="N33" s="30"/>
      <c r="O33" s="30">
        <v>3</v>
      </c>
      <c r="P33" s="30"/>
      <c r="Q33" s="30"/>
      <c r="R33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15</v>
      </c>
    </row>
    <row r="34" spans="2:18" x14ac:dyDescent="0.2">
      <c r="B34" s="22" t="s">
        <v>68</v>
      </c>
      <c r="C34" s="23" t="s">
        <v>69</v>
      </c>
      <c r="D34" s="24">
        <f>Tabla13111927374553616977859310110911712513314114913315716517318118915716517319720521322122923724525326126927728529330130931732533335347355363371379[[#This Row],[STOCK]]</f>
        <v>0</v>
      </c>
      <c r="E34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0</v>
      </c>
      <c r="F34" s="26"/>
      <c r="G34" s="23"/>
      <c r="H34" s="27"/>
      <c r="I34" s="23"/>
      <c r="J34" s="23"/>
      <c r="K34" s="23"/>
      <c r="L34" s="23"/>
      <c r="M34" s="23"/>
      <c r="N34" s="23"/>
      <c r="O34" s="23"/>
      <c r="P34" s="23"/>
      <c r="Q34" s="23"/>
      <c r="R34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0</v>
      </c>
    </row>
    <row r="35" spans="2:18" x14ac:dyDescent="0.2">
      <c r="B35" s="29" t="s">
        <v>70</v>
      </c>
      <c r="C35" s="30" t="s">
        <v>71</v>
      </c>
      <c r="D35" s="31">
        <f>Tabla13111927374553616977859310110911712513314114913315716517318118915716517319720521322122923724525326126927728529330130931732533335347355363371379[[#This Row],[STOCK]]</f>
        <v>142</v>
      </c>
      <c r="E35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114</v>
      </c>
      <c r="F35" s="33"/>
      <c r="G35" s="30"/>
      <c r="H35" s="34"/>
      <c r="I35" s="30">
        <v>23</v>
      </c>
      <c r="J35" s="30">
        <v>50</v>
      </c>
      <c r="K35" s="30">
        <v>15</v>
      </c>
      <c r="L35" s="30"/>
      <c r="M35" s="30">
        <v>9</v>
      </c>
      <c r="N35" s="30"/>
      <c r="O35" s="30">
        <v>30</v>
      </c>
      <c r="P35" s="30"/>
      <c r="Q35" s="30">
        <v>1</v>
      </c>
      <c r="R35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78</v>
      </c>
    </row>
    <row r="36" spans="2:18" x14ac:dyDescent="0.2">
      <c r="B36" s="22" t="s">
        <v>72</v>
      </c>
      <c r="C36" s="23" t="s">
        <v>73</v>
      </c>
      <c r="D36" s="24">
        <f>Tabla13111927374553616977859310110911712513314114913315716517318118915716517319720521322122923724525326126927728529330130931732533335347355363371379[[#This Row],[STOCK]]</f>
        <v>110</v>
      </c>
      <c r="E36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81</v>
      </c>
      <c r="F36" s="26"/>
      <c r="G36" s="23"/>
      <c r="H36" s="27"/>
      <c r="I36" s="23">
        <v>20</v>
      </c>
      <c r="J36" s="23">
        <v>50</v>
      </c>
      <c r="K36" s="23">
        <v>34</v>
      </c>
      <c r="L36" s="23"/>
      <c r="M36" s="23">
        <v>22</v>
      </c>
      <c r="N36" s="23">
        <v>60</v>
      </c>
      <c r="O36" s="23">
        <v>51</v>
      </c>
      <c r="P36" s="23">
        <v>50</v>
      </c>
      <c r="Q36" s="23">
        <v>62</v>
      </c>
      <c r="R36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189</v>
      </c>
    </row>
    <row r="37" spans="2:18" ht="12" customHeight="1" x14ac:dyDescent="0.2">
      <c r="B37" s="29" t="s">
        <v>74</v>
      </c>
      <c r="C37" s="30" t="s">
        <v>75</v>
      </c>
      <c r="D37" s="31">
        <f>Tabla13111927374553616977859310110911712513314114913315716517318118915716517319720521322122923724525326126927728529330130931732533335347355363371379[[#This Row],[STOCK]]</f>
        <v>80</v>
      </c>
      <c r="E37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103</v>
      </c>
      <c r="F37" s="33"/>
      <c r="G37" s="30"/>
      <c r="H37" s="34"/>
      <c r="I37" s="30"/>
      <c r="J37" s="30"/>
      <c r="K37" s="30"/>
      <c r="L37" s="30"/>
      <c r="M37" s="30">
        <v>14</v>
      </c>
      <c r="N37" s="30">
        <v>48</v>
      </c>
      <c r="O37" s="30">
        <v>9</v>
      </c>
      <c r="P37" s="30"/>
      <c r="Q37" s="30">
        <v>2</v>
      </c>
      <c r="R37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25</v>
      </c>
    </row>
    <row r="38" spans="2:18" x14ac:dyDescent="0.2">
      <c r="B38" s="22" t="s">
        <v>76</v>
      </c>
      <c r="C38" s="23" t="s">
        <v>77</v>
      </c>
      <c r="D38" s="24">
        <f>Tabla13111927374553616977859310110911712513314114913315716517318118915716517319720521322122923724525326126927728529330130931732533335347355363371379[[#This Row],[STOCK]]</f>
        <v>123</v>
      </c>
      <c r="E38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106</v>
      </c>
      <c r="F38" s="26"/>
      <c r="G38" s="23"/>
      <c r="H38" s="27"/>
      <c r="I38" s="23"/>
      <c r="J38" s="23"/>
      <c r="K38" s="23"/>
      <c r="L38" s="23"/>
      <c r="M38" s="23">
        <v>8</v>
      </c>
      <c r="N38" s="23"/>
      <c r="O38" s="23">
        <v>7</v>
      </c>
      <c r="P38" s="23"/>
      <c r="Q38" s="23">
        <v>2</v>
      </c>
      <c r="R38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17</v>
      </c>
    </row>
    <row r="39" spans="2:18" x14ac:dyDescent="0.2">
      <c r="B39" s="29" t="s">
        <v>78</v>
      </c>
      <c r="C39" s="30" t="s">
        <v>79</v>
      </c>
      <c r="D39" s="31">
        <f>Tabla13111927374553616977859310110911712513314114913315716517318118915716517319720521322122923724525326126927728529330130931732533335347355363371379[[#This Row],[STOCK]]</f>
        <v>21</v>
      </c>
      <c r="E39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2</v>
      </c>
      <c r="F39" s="33"/>
      <c r="G39" s="30"/>
      <c r="H39" s="34"/>
      <c r="I39" s="30"/>
      <c r="J39" s="30"/>
      <c r="K39" s="30">
        <v>15</v>
      </c>
      <c r="L39" s="30"/>
      <c r="M39" s="30">
        <v>2</v>
      </c>
      <c r="N39" s="30">
        <v>8</v>
      </c>
      <c r="O39" s="30">
        <v>4</v>
      </c>
      <c r="P39" s="30"/>
      <c r="Q39" s="30">
        <v>6</v>
      </c>
      <c r="R39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27</v>
      </c>
    </row>
    <row r="40" spans="2:18" x14ac:dyDescent="0.2">
      <c r="B40" s="22" t="s">
        <v>80</v>
      </c>
      <c r="C40" s="23" t="s">
        <v>81</v>
      </c>
      <c r="D40" s="24">
        <f>Tabla13111927374553616977859310110911712513314114913315716517318118915716517319720521322122923724525326126927728529330130931732533335347355363371379[[#This Row],[STOCK]]</f>
        <v>76</v>
      </c>
      <c r="E40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76</v>
      </c>
      <c r="F40" s="26"/>
      <c r="G40" s="23"/>
      <c r="H40" s="27"/>
      <c r="I40" s="23"/>
      <c r="J40" s="23"/>
      <c r="K40" s="23"/>
      <c r="L40" s="23"/>
      <c r="M40" s="23"/>
      <c r="N40" s="23"/>
      <c r="O40" s="23"/>
      <c r="P40" s="23"/>
      <c r="Q40" s="23"/>
      <c r="R40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0</v>
      </c>
    </row>
    <row r="41" spans="2:18" x14ac:dyDescent="0.2">
      <c r="B41" s="29" t="s">
        <v>82</v>
      </c>
      <c r="C41" s="30" t="s">
        <v>83</v>
      </c>
      <c r="D41" s="31">
        <f>Tabla13111927374553616977859310110911712513314114913315716517318118915716517319720521322122923724525326126927728529330130931732533335347355363371379[[#This Row],[STOCK]]</f>
        <v>0</v>
      </c>
      <c r="E41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0</v>
      </c>
      <c r="F41" s="33"/>
      <c r="G41" s="30"/>
      <c r="H41" s="34"/>
      <c r="I41" s="30"/>
      <c r="J41" s="30"/>
      <c r="K41" s="30"/>
      <c r="L41" s="30"/>
      <c r="M41" s="30"/>
      <c r="N41" s="30"/>
      <c r="O41" s="30"/>
      <c r="P41" s="30"/>
      <c r="Q41" s="30"/>
      <c r="R41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0</v>
      </c>
    </row>
    <row r="42" spans="2:18" x14ac:dyDescent="0.2">
      <c r="B42" s="22" t="s">
        <v>84</v>
      </c>
      <c r="C42" s="23" t="s">
        <v>85</v>
      </c>
      <c r="D42" s="24">
        <f>Tabla13111927374553616977859310110911712513314114913315716517318118915716517319720521322122923724525326126927728529330130931732533335347355363371379[[#This Row],[STOCK]]</f>
        <v>74</v>
      </c>
      <c r="E42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74</v>
      </c>
      <c r="F42" s="26"/>
      <c r="G42" s="23"/>
      <c r="H42" s="27"/>
      <c r="I42" s="23"/>
      <c r="J42" s="23"/>
      <c r="K42" s="23"/>
      <c r="L42" s="23"/>
      <c r="M42" s="23"/>
      <c r="N42" s="23"/>
      <c r="O42" s="23"/>
      <c r="P42" s="23"/>
      <c r="Q42" s="23"/>
      <c r="R42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0</v>
      </c>
    </row>
    <row r="43" spans="2:18" x14ac:dyDescent="0.2">
      <c r="B43" s="29" t="s">
        <v>86</v>
      </c>
      <c r="C43" s="30" t="s">
        <v>87</v>
      </c>
      <c r="D43" s="24">
        <f>Tabla13111927374553616977859310110911712513314114913315716517318118915716517319720521322122923724525326126927728529330130931732533335347355363371379[[#This Row],[STOCK]]</f>
        <v>136</v>
      </c>
      <c r="E43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131</v>
      </c>
      <c r="F43" s="33"/>
      <c r="G43" s="30"/>
      <c r="H43" s="34"/>
      <c r="I43" s="30"/>
      <c r="J43" s="30"/>
      <c r="K43" s="30">
        <v>5</v>
      </c>
      <c r="L43" s="30"/>
      <c r="M43" s="30"/>
      <c r="N43" s="30"/>
      <c r="O43" s="30"/>
      <c r="P43" s="30"/>
      <c r="Q43" s="30"/>
      <c r="R43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5</v>
      </c>
    </row>
    <row r="44" spans="2:18" x14ac:dyDescent="0.2">
      <c r="B44" s="22" t="s">
        <v>88</v>
      </c>
      <c r="C44" s="23" t="s">
        <v>89</v>
      </c>
      <c r="D44" s="24">
        <f>Tabla13111927374553616977859310110911712513314114913315716517318118915716517319720521322122923724525326126927728529330130931732533335347355363371379[[#This Row],[STOCK]]</f>
        <v>289</v>
      </c>
      <c r="E44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284</v>
      </c>
      <c r="F44" s="26"/>
      <c r="G44" s="23"/>
      <c r="H44" s="27"/>
      <c r="I44" s="23"/>
      <c r="J44" s="23"/>
      <c r="K44" s="23">
        <v>5</v>
      </c>
      <c r="L44" s="23"/>
      <c r="M44" s="23"/>
      <c r="N44" s="23"/>
      <c r="O44" s="23"/>
      <c r="P44" s="23"/>
      <c r="Q44" s="23"/>
      <c r="R44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5</v>
      </c>
    </row>
    <row r="45" spans="2:18" x14ac:dyDescent="0.2">
      <c r="B45" s="29" t="s">
        <v>90</v>
      </c>
      <c r="C45" s="30" t="s">
        <v>91</v>
      </c>
      <c r="D45" s="31">
        <f>Tabla13111927374553616977859310110911712513314114913315716517318118915716517319720521322122923724525326126927728529330130931732533335347355363371379[[#This Row],[STOCK]]</f>
        <v>202</v>
      </c>
      <c r="E45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195</v>
      </c>
      <c r="F45" s="33"/>
      <c r="G45" s="30"/>
      <c r="H45" s="34"/>
      <c r="I45" s="30">
        <v>2</v>
      </c>
      <c r="J45" s="30"/>
      <c r="K45" s="30">
        <v>5</v>
      </c>
      <c r="L45" s="30"/>
      <c r="M45" s="30"/>
      <c r="N45" s="30"/>
      <c r="O45" s="30"/>
      <c r="P45" s="30"/>
      <c r="Q45" s="30"/>
      <c r="R45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7</v>
      </c>
    </row>
    <row r="46" spans="2:18" x14ac:dyDescent="0.2">
      <c r="B46" s="22" t="s">
        <v>92</v>
      </c>
      <c r="C46" s="23" t="s">
        <v>93</v>
      </c>
      <c r="D46" s="24">
        <f>Tabla13111927374553616977859310110911712513314114913315716517318118915716517319720521322122923724525326126927728529330130931732533335347355363371379[[#This Row],[STOCK]]</f>
        <v>131</v>
      </c>
      <c r="E46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124</v>
      </c>
      <c r="F46" s="26"/>
      <c r="G46" s="23"/>
      <c r="H46" s="27"/>
      <c r="I46" s="23">
        <v>2</v>
      </c>
      <c r="J46" s="23"/>
      <c r="K46" s="23">
        <v>5</v>
      </c>
      <c r="L46" s="23"/>
      <c r="M46" s="23"/>
      <c r="N46" s="23"/>
      <c r="O46" s="23"/>
      <c r="P46" s="23"/>
      <c r="Q46" s="23"/>
      <c r="R46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7</v>
      </c>
    </row>
    <row r="47" spans="2:18" x14ac:dyDescent="0.2">
      <c r="B47" s="29" t="s">
        <v>94</v>
      </c>
      <c r="C47" s="30" t="s">
        <v>95</v>
      </c>
      <c r="D47" s="31">
        <f>Tabla13111927374553616977859310110911712513314114913315716517318118915716517319720521322122923724525326126927728529330130931732533335347355363371379[[#This Row],[STOCK]]</f>
        <v>281</v>
      </c>
      <c r="E47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243</v>
      </c>
      <c r="F47" s="33"/>
      <c r="G47" s="30"/>
      <c r="H47" s="34"/>
      <c r="I47" s="30"/>
      <c r="J47" s="30"/>
      <c r="K47" s="30">
        <v>7</v>
      </c>
      <c r="L47" s="30"/>
      <c r="M47" s="30">
        <v>7</v>
      </c>
      <c r="N47" s="30"/>
      <c r="O47" s="30">
        <v>13</v>
      </c>
      <c r="P47" s="30"/>
      <c r="Q47" s="30">
        <v>11</v>
      </c>
      <c r="R47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38</v>
      </c>
    </row>
    <row r="48" spans="2:18" x14ac:dyDescent="0.2">
      <c r="B48" s="22" t="s">
        <v>96</v>
      </c>
      <c r="C48" s="23" t="s">
        <v>97</v>
      </c>
      <c r="D48" s="24">
        <f>Tabla13111927374553616977859310110911712513314114913315716517318118915716517319720521322122923724525326126927728529330130931732533335347355363371379[[#This Row],[STOCK]]</f>
        <v>242</v>
      </c>
      <c r="E48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212</v>
      </c>
      <c r="F48" s="26"/>
      <c r="G48" s="23"/>
      <c r="H48" s="27"/>
      <c r="I48" s="23"/>
      <c r="J48" s="23"/>
      <c r="K48" s="23">
        <v>5</v>
      </c>
      <c r="L48" s="23"/>
      <c r="M48" s="23">
        <v>6</v>
      </c>
      <c r="N48" s="23"/>
      <c r="O48" s="23">
        <v>9</v>
      </c>
      <c r="P48" s="23"/>
      <c r="Q48" s="23">
        <v>10</v>
      </c>
      <c r="R48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30</v>
      </c>
    </row>
    <row r="49" spans="2:18" x14ac:dyDescent="0.2">
      <c r="B49" s="29" t="s">
        <v>98</v>
      </c>
      <c r="C49" s="30" t="s">
        <v>99</v>
      </c>
      <c r="D49" s="31">
        <f>Tabla13111927374553616977859310110911712513314114913315716517318118915716517319720521322122923724525326126927728529330130931732533335347355363371379[[#This Row],[STOCK]]</f>
        <v>0</v>
      </c>
      <c r="E49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0</v>
      </c>
      <c r="F49" s="33"/>
      <c r="G49" s="30"/>
      <c r="H49" s="34"/>
      <c r="I49" s="30"/>
      <c r="J49" s="30"/>
      <c r="K49" s="30"/>
      <c r="L49" s="30"/>
      <c r="M49" s="30"/>
      <c r="N49" s="30"/>
      <c r="O49" s="30"/>
      <c r="P49" s="30"/>
      <c r="Q49" s="30"/>
      <c r="R49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0</v>
      </c>
    </row>
    <row r="50" spans="2:18" ht="13.5" customHeight="1" x14ac:dyDescent="0.2">
      <c r="B50" s="22" t="s">
        <v>100</v>
      </c>
      <c r="C50" s="23" t="s">
        <v>101</v>
      </c>
      <c r="D50" s="24">
        <f>Tabla13111927374553616977859310110911712513314114913315716517318118915716517319720521322122923724525326126927728529330130931732533335347355363371379[[#This Row],[STOCK]]</f>
        <v>50</v>
      </c>
      <c r="E50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48</v>
      </c>
      <c r="F50" s="26"/>
      <c r="G50" s="23"/>
      <c r="H50" s="27"/>
      <c r="I50" s="23"/>
      <c r="J50" s="23"/>
      <c r="K50" s="23">
        <v>2</v>
      </c>
      <c r="L50" s="23"/>
      <c r="M50" s="23"/>
      <c r="N50" s="23"/>
      <c r="O50" s="23"/>
      <c r="P50" s="23"/>
      <c r="Q50" s="23"/>
      <c r="R50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2</v>
      </c>
    </row>
    <row r="51" spans="2:18" x14ac:dyDescent="0.2">
      <c r="B51" s="29" t="s">
        <v>102</v>
      </c>
      <c r="C51" s="30" t="s">
        <v>103</v>
      </c>
      <c r="D51" s="31">
        <f>Tabla13111927374553616977859310110911712513314114913315716517318118915716517319720521322122923724525326126927728529330130931732533335347355363371379[[#This Row],[STOCK]]</f>
        <v>93</v>
      </c>
      <c r="E51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92</v>
      </c>
      <c r="F51" s="33"/>
      <c r="G51" s="30"/>
      <c r="H51" s="34"/>
      <c r="I51" s="30"/>
      <c r="J51" s="30"/>
      <c r="K51" s="30">
        <v>1</v>
      </c>
      <c r="L51" s="30"/>
      <c r="M51" s="30"/>
      <c r="N51" s="30"/>
      <c r="O51" s="30"/>
      <c r="P51" s="30"/>
      <c r="Q51" s="30"/>
      <c r="R51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1</v>
      </c>
    </row>
    <row r="52" spans="2:18" x14ac:dyDescent="0.2">
      <c r="B52" s="22" t="s">
        <v>104</v>
      </c>
      <c r="C52" s="23" t="s">
        <v>105</v>
      </c>
      <c r="D52" s="24">
        <f>Tabla13111927374553616977859310110911712513314114913315716517318118915716517319720521322122923724525326126927728529330130931732533335347355363371379[[#This Row],[STOCK]]</f>
        <v>2</v>
      </c>
      <c r="E52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0</v>
      </c>
      <c r="F52" s="26"/>
      <c r="G52" s="23">
        <v>2</v>
      </c>
      <c r="H52" s="27"/>
      <c r="I52" s="23"/>
      <c r="J52" s="23"/>
      <c r="K52" s="23"/>
      <c r="L52" s="23"/>
      <c r="M52" s="23"/>
      <c r="N52" s="23"/>
      <c r="O52" s="23"/>
      <c r="P52" s="23"/>
      <c r="Q52" s="23"/>
      <c r="R52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2</v>
      </c>
    </row>
    <row r="53" spans="2:18" x14ac:dyDescent="0.2">
      <c r="B53" s="29" t="s">
        <v>106</v>
      </c>
      <c r="C53" s="30" t="s">
        <v>107</v>
      </c>
      <c r="D53" s="31">
        <f>Tabla13111927374553616977859310110911712513314114913315716517318118915716517319720521322122923724525326126927728529330130931732533335347355363371379[[#This Row],[STOCK]]</f>
        <v>37</v>
      </c>
      <c r="E53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35</v>
      </c>
      <c r="F53" s="33"/>
      <c r="G53" s="30"/>
      <c r="H53" s="34"/>
      <c r="I53" s="30"/>
      <c r="J53" s="30"/>
      <c r="K53" s="30">
        <v>1</v>
      </c>
      <c r="L53" s="30"/>
      <c r="M53" s="30"/>
      <c r="N53" s="30"/>
      <c r="O53" s="30"/>
      <c r="P53" s="30"/>
      <c r="Q53" s="30">
        <v>1</v>
      </c>
      <c r="R53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2</v>
      </c>
    </row>
    <row r="54" spans="2:18" x14ac:dyDescent="0.2">
      <c r="B54" s="22" t="s">
        <v>108</v>
      </c>
      <c r="C54" s="23" t="s">
        <v>109</v>
      </c>
      <c r="D54" s="24">
        <f>Tabla13111927374553616977859310110911712513314114913315716517318118915716517319720521322122923724525326126927728529330130931732533335347355363371379[[#This Row],[STOCK]]</f>
        <v>14</v>
      </c>
      <c r="E54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6</v>
      </c>
      <c r="F54" s="26"/>
      <c r="G54" s="23"/>
      <c r="H54" s="27"/>
      <c r="I54" s="23"/>
      <c r="J54" s="23"/>
      <c r="K54" s="23">
        <v>1</v>
      </c>
      <c r="L54" s="23"/>
      <c r="M54" s="23"/>
      <c r="N54" s="23"/>
      <c r="O54" s="23"/>
      <c r="P54" s="23"/>
      <c r="Q54" s="23">
        <v>7</v>
      </c>
      <c r="R54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8</v>
      </c>
    </row>
    <row r="55" spans="2:18" x14ac:dyDescent="0.2">
      <c r="B55" s="29" t="s">
        <v>110</v>
      </c>
      <c r="C55" s="30" t="s">
        <v>111</v>
      </c>
      <c r="D55" s="31">
        <f>Tabla13111927374553616977859310110911712513314114913315716517318118915716517319720521322122923724525326126927728529330130931732533335347355363371379[[#This Row],[STOCK]]</f>
        <v>68</v>
      </c>
      <c r="E55" s="32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65</v>
      </c>
      <c r="F55" s="33"/>
      <c r="G55" s="30"/>
      <c r="H55" s="34"/>
      <c r="I55" s="30"/>
      <c r="J55" s="30"/>
      <c r="K55" s="30">
        <v>2</v>
      </c>
      <c r="L55" s="30"/>
      <c r="M55" s="30"/>
      <c r="N55" s="30"/>
      <c r="O55" s="30"/>
      <c r="P55" s="30"/>
      <c r="Q55" s="30">
        <v>1</v>
      </c>
      <c r="R55" s="35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3</v>
      </c>
    </row>
    <row r="56" spans="2:18" x14ac:dyDescent="0.2">
      <c r="B56" s="22" t="s">
        <v>112</v>
      </c>
      <c r="C56" s="23" t="s">
        <v>113</v>
      </c>
      <c r="D56" s="24">
        <f>Tabla13111927374553616977859310110911712513314114913315716517318118915716517319720521322122923724525326126927728529330130931732533335347355363371379[[#This Row],[STOCK]]</f>
        <v>86</v>
      </c>
      <c r="E56" s="25">
        <f>Tabla1311192737455361697785931011091171251331411491331571651731811891571651731972052132212292372452532612692772852933013093173253333534735536337137911[[#This Row],[INVENTARIO INICIAL]]+Tabla1311192737455361697785931011091171251331411491331571651731811891571651731972052132212292372452532612692772852933013093173253333534735536337137911[[#This Row],[INGRESO LUNES]]-Tabla1311192737455361697785931011091171251331411491331571651731811891571651731972052132212292372452532612692772852933013093173253333534735536337137911[[#This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Row],[INGRESO MARTES]]-Tabla1311192737455361697785931011091171251331411491331571651731811891571651731972052132212292372452532612692772852933013093173253333534735536337137911[[#This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Row],[INGRESO MIERCOLES]]-Tabla1311192737455361697785931011091171251331411491331571651731811891571651731972052132212292372452532612692772852933013093173253333534735536337137911[[#This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Row],[INGRESO JUEVES]]-Tabla1311192737455361697785931011091171251331411491331571651731811891571651731972052132212292372452532612692772852933013093173253333534735536337137911[[#This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Row],[INGRESO VIERNES]]-Tabla1311192737455361697785931011091171251331411491331571651731811891571651731972052132212292372452532612692772852933013093173253333534735536337137911[[#This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 INGRESO SABADO]]-Tabla1311192737455361697785931011091171251331411491331571651731811891571651731972052132212292372452532612692772852933013093173253333534735536337137911[[#This Row],[VENTA SABADO]]</f>
        <v>86</v>
      </c>
      <c r="F56" s="26"/>
      <c r="G56" s="23"/>
      <c r="H56" s="27"/>
      <c r="I56" s="23"/>
      <c r="J56" s="23"/>
      <c r="K56" s="23"/>
      <c r="L56" s="23"/>
      <c r="M56" s="23"/>
      <c r="N56" s="23"/>
      <c r="O56" s="23"/>
      <c r="P56" s="23"/>
      <c r="Q56" s="23"/>
      <c r="R56" s="28">
        <f>Tabla1311192737455361697785931011091171251331411491331571651731811891571651731972052132212292372452532612692772852933013093173253333534735536337137911[[#This Row],[VENTA LUNES]]+Tabla1311192737455361697785931011091171251331411491331571651731811891571651731972052132212292372452532612692772852933013093173253333534735536337137911[[#This Row],[VENTA MARTES]]+Tabla1311192737455361697785931011091171251331411491331571651731811891571651731972052132212292372452532612692772852933013093173253333534735536337137911[[#This Row],[VENTA MIERCOLES]]+Tabla1311192737455361697785931011091171251331411491331571651731811891571651731972052132212292372452532612692772852933013093173253333534735536337137911[[#This Row],[VENTA JUEVES]]+Tabla1311192737455361697785931011091171251331411491331571651731811891571651731972052132212292372452532612692772852933013093173253333534735536337137911[[#This Row],[VENTA VIERNES]]+Tabla1311192737455361697785931011091171251331411491331571651731811891571651731972052132212292372452532612692772852933013093173253333534735536337137911[[#This Row],[VENTA SABADO]]</f>
        <v>0</v>
      </c>
    </row>
    <row r="58" spans="2:18" ht="38.25" x14ac:dyDescent="0.2">
      <c r="B58" s="17" t="s">
        <v>114</v>
      </c>
      <c r="C58" s="17" t="s">
        <v>5</v>
      </c>
      <c r="D58" s="17" t="s">
        <v>6</v>
      </c>
      <c r="E58" s="17" t="s">
        <v>7</v>
      </c>
      <c r="F58" s="17" t="s">
        <v>8</v>
      </c>
      <c r="G58" s="17" t="s">
        <v>51</v>
      </c>
      <c r="H58" s="17" t="s">
        <v>10</v>
      </c>
      <c r="I58" s="17" t="s">
        <v>11</v>
      </c>
      <c r="J58" s="17" t="s">
        <v>12</v>
      </c>
      <c r="K58" s="17" t="s">
        <v>13</v>
      </c>
      <c r="L58" s="17" t="s">
        <v>14</v>
      </c>
      <c r="M58" s="17" t="s">
        <v>15</v>
      </c>
      <c r="N58" s="17" t="s">
        <v>16</v>
      </c>
      <c r="O58" s="17" t="s">
        <v>17</v>
      </c>
      <c r="P58" s="17" t="s">
        <v>18</v>
      </c>
      <c r="Q58" s="17" t="s">
        <v>19</v>
      </c>
      <c r="R58" s="17" t="s">
        <v>20</v>
      </c>
    </row>
    <row r="59" spans="2:18" x14ac:dyDescent="0.2">
      <c r="B59" s="22" t="s">
        <v>115</v>
      </c>
      <c r="C59" s="23" t="s">
        <v>116</v>
      </c>
      <c r="D59" s="24">
        <f>Tabla1341220283846546270788694102110118126134142150134158166174182190158166174198206214222230238246254262270278286294302310318326334340348356364372380[[#This Row],[STOCK]]</f>
        <v>384</v>
      </c>
      <c r="E59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382</v>
      </c>
      <c r="F59" s="23"/>
      <c r="G59" s="24"/>
      <c r="H59" s="39"/>
      <c r="I59" s="40">
        <v>1</v>
      </c>
      <c r="J59" s="41"/>
      <c r="K59" s="39"/>
      <c r="L59" s="40"/>
      <c r="M59" s="41"/>
      <c r="N59" s="39"/>
      <c r="O59" s="40"/>
      <c r="P59" s="41"/>
      <c r="Q59" s="39">
        <v>1</v>
      </c>
      <c r="R59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2</v>
      </c>
    </row>
    <row r="60" spans="2:18" x14ac:dyDescent="0.2">
      <c r="B60" s="29" t="s">
        <v>117</v>
      </c>
      <c r="C60" s="30" t="s">
        <v>118</v>
      </c>
      <c r="D60" s="31">
        <f>Tabla1341220283846546270788694102110118126134142150134158166174182190158166174198206214222230238246254262270278286294302310318326334340348356364372380[[#This Row],[STOCK]]</f>
        <v>144</v>
      </c>
      <c r="E60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141</v>
      </c>
      <c r="F60" s="30"/>
      <c r="G60" s="31"/>
      <c r="H60" s="42"/>
      <c r="I60" s="43">
        <v>2</v>
      </c>
      <c r="J60" s="44"/>
      <c r="K60" s="42"/>
      <c r="L60" s="43"/>
      <c r="M60" s="44"/>
      <c r="N60" s="42"/>
      <c r="O60" s="43"/>
      <c r="P60" s="44"/>
      <c r="Q60" s="42">
        <v>1</v>
      </c>
      <c r="R60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3</v>
      </c>
    </row>
    <row r="61" spans="2:18" x14ac:dyDescent="0.2">
      <c r="B61" s="22" t="s">
        <v>119</v>
      </c>
      <c r="C61" s="23" t="s">
        <v>120</v>
      </c>
      <c r="D61" s="24">
        <f>Tabla1341220283846546270788694102110118126134142150134158166174182190158166174198206214222230238246254262270278286294302310318326334340348356364372380[[#This Row],[STOCK]]</f>
        <v>533</v>
      </c>
      <c r="E61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522</v>
      </c>
      <c r="F61" s="23"/>
      <c r="G61" s="24"/>
      <c r="H61" s="39"/>
      <c r="I61" s="40">
        <v>2</v>
      </c>
      <c r="J61" s="41"/>
      <c r="K61" s="39"/>
      <c r="L61" s="40"/>
      <c r="M61" s="41">
        <v>5</v>
      </c>
      <c r="N61" s="39"/>
      <c r="O61" s="40">
        <v>3</v>
      </c>
      <c r="P61" s="41"/>
      <c r="Q61" s="39">
        <v>1</v>
      </c>
      <c r="R61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11</v>
      </c>
    </row>
    <row r="62" spans="2:18" x14ac:dyDescent="0.2">
      <c r="B62" s="29" t="s">
        <v>121</v>
      </c>
      <c r="C62" s="30" t="s">
        <v>122</v>
      </c>
      <c r="D62" s="31">
        <f>Tabla1341220283846546270788694102110118126134142150134158166174182190158166174198206214222230238246254262270278286294302310318326334340348356364372380[[#This Row],[STOCK]]</f>
        <v>494</v>
      </c>
      <c r="E62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494</v>
      </c>
      <c r="F62" s="30"/>
      <c r="G62" s="31"/>
      <c r="H62" s="42"/>
      <c r="I62" s="43"/>
      <c r="J62" s="44"/>
      <c r="K62" s="42"/>
      <c r="L62" s="43"/>
      <c r="M62" s="44"/>
      <c r="N62" s="42"/>
      <c r="O62" s="43"/>
      <c r="P62" s="44"/>
      <c r="Q62" s="42"/>
      <c r="R62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63" spans="2:18" x14ac:dyDescent="0.2">
      <c r="B63" s="22" t="s">
        <v>123</v>
      </c>
      <c r="C63" s="23" t="s">
        <v>124</v>
      </c>
      <c r="D63" s="24">
        <f>Tabla1341220283846546270788694102110118126134142150134158166174182190158166174198206214222230238246254262270278286294302310318326334340348356364372380[[#This Row],[STOCK]]</f>
        <v>101</v>
      </c>
      <c r="E63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101</v>
      </c>
      <c r="F63" s="23"/>
      <c r="G63" s="24"/>
      <c r="H63" s="39"/>
      <c r="I63" s="40"/>
      <c r="J63" s="41"/>
      <c r="K63" s="39"/>
      <c r="L63" s="40"/>
      <c r="M63" s="41"/>
      <c r="N63" s="39"/>
      <c r="O63" s="40"/>
      <c r="P63" s="41"/>
      <c r="Q63" s="39"/>
      <c r="R63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64" spans="2:18" x14ac:dyDescent="0.2">
      <c r="B64" s="29" t="s">
        <v>125</v>
      </c>
      <c r="C64" s="30" t="s">
        <v>126</v>
      </c>
      <c r="D64" s="31">
        <f>Tabla1341220283846546270788694102110118126134142150134158166174182190158166174198206214222230238246254262270278286294302310318326334340348356364372380[[#This Row],[STOCK]]</f>
        <v>604</v>
      </c>
      <c r="E64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599</v>
      </c>
      <c r="F64" s="30"/>
      <c r="G64" s="31"/>
      <c r="H64" s="42"/>
      <c r="I64" s="43"/>
      <c r="J64" s="44"/>
      <c r="K64" s="42"/>
      <c r="L64" s="43"/>
      <c r="M64" s="44"/>
      <c r="N64" s="42"/>
      <c r="O64" s="43">
        <v>5</v>
      </c>
      <c r="P64" s="44"/>
      <c r="Q64" s="42"/>
      <c r="R64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5</v>
      </c>
    </row>
    <row r="65" spans="2:18" x14ac:dyDescent="0.2">
      <c r="B65" s="22" t="s">
        <v>127</v>
      </c>
      <c r="C65" s="23" t="s">
        <v>128</v>
      </c>
      <c r="D65" s="24">
        <f>Tabla1341220283846546270788694102110118126134142150134158166174182190158166174198206214222230238246254262270278286294302310318326334340348356364372380[[#This Row],[STOCK]]</f>
        <v>666</v>
      </c>
      <c r="E65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666</v>
      </c>
      <c r="F65" s="23"/>
      <c r="G65" s="24"/>
      <c r="H65" s="39"/>
      <c r="I65" s="40"/>
      <c r="J65" s="41"/>
      <c r="K65" s="39"/>
      <c r="L65" s="40"/>
      <c r="M65" s="41"/>
      <c r="N65" s="39"/>
      <c r="O65" s="40"/>
      <c r="P65" s="41"/>
      <c r="Q65" s="39"/>
      <c r="R65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66" spans="2:18" x14ac:dyDescent="0.2">
      <c r="B66" s="29" t="s">
        <v>129</v>
      </c>
      <c r="C66" s="30" t="s">
        <v>130</v>
      </c>
      <c r="D66" s="31">
        <f>Tabla1341220283846546270788694102110118126134142150134158166174182190158166174198206214222230238246254262270278286294302310318326334340348356364372380[[#This Row],[STOCK]]</f>
        <v>275</v>
      </c>
      <c r="E66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275</v>
      </c>
      <c r="F66" s="30"/>
      <c r="G66" s="31"/>
      <c r="H66" s="42"/>
      <c r="I66" s="43"/>
      <c r="J66" s="44"/>
      <c r="K66" s="42"/>
      <c r="L66" s="43"/>
      <c r="M66" s="44"/>
      <c r="N66" s="42"/>
      <c r="O66" s="43"/>
      <c r="P66" s="44"/>
      <c r="Q66" s="42"/>
      <c r="R66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67" spans="2:18" x14ac:dyDescent="0.2">
      <c r="B67" s="22" t="s">
        <v>131</v>
      </c>
      <c r="C67" s="23" t="s">
        <v>132</v>
      </c>
      <c r="D67" s="24">
        <f>Tabla1341220283846546270788694102110118126134142150134158166174182190158166174198206214222230238246254262270278286294302310318326334340348356364372380[[#This Row],[STOCK]]</f>
        <v>0</v>
      </c>
      <c r="E67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0</v>
      </c>
      <c r="F67" s="23"/>
      <c r="G67" s="24"/>
      <c r="H67" s="39"/>
      <c r="I67" s="40"/>
      <c r="J67" s="41"/>
      <c r="K67" s="39"/>
      <c r="L67" s="40"/>
      <c r="M67" s="41"/>
      <c r="N67" s="39"/>
      <c r="O67" s="40"/>
      <c r="P67" s="41"/>
      <c r="Q67" s="39"/>
      <c r="R67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68" spans="2:18" x14ac:dyDescent="0.2">
      <c r="B68" s="29" t="s">
        <v>133</v>
      </c>
      <c r="C68" s="30" t="s">
        <v>134</v>
      </c>
      <c r="D68" s="31">
        <f>Tabla1341220283846546270788694102110118126134142150134158166174182190158166174198206214222230238246254262270278286294302310318326334340348356364372380[[#This Row],[STOCK]]</f>
        <v>0</v>
      </c>
      <c r="E68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0</v>
      </c>
      <c r="F68" s="30"/>
      <c r="G68" s="31"/>
      <c r="H68" s="42"/>
      <c r="I68" s="43"/>
      <c r="J68" s="44"/>
      <c r="K68" s="42"/>
      <c r="L68" s="43"/>
      <c r="M68" s="44"/>
      <c r="N68" s="42"/>
      <c r="O68" s="43"/>
      <c r="P68" s="44"/>
      <c r="Q68" s="42"/>
      <c r="R68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69" spans="2:18" s="45" customFormat="1" x14ac:dyDescent="0.2">
      <c r="B69" s="22" t="s">
        <v>135</v>
      </c>
      <c r="C69" s="23" t="s">
        <v>136</v>
      </c>
      <c r="D69" s="24">
        <f>Tabla1341220283846546270788694102110118126134142150134158166174182190158166174198206214222230238246254262270278286294302310318326334340348356364372380[[#This Row],[STOCK]]</f>
        <v>0</v>
      </c>
      <c r="E69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0</v>
      </c>
      <c r="F69" s="23"/>
      <c r="G69" s="24"/>
      <c r="H69" s="39"/>
      <c r="I69" s="40"/>
      <c r="J69" s="41"/>
      <c r="K69" s="39"/>
      <c r="L69" s="40"/>
      <c r="M69" s="41"/>
      <c r="N69" s="39"/>
      <c r="O69" s="40"/>
      <c r="P69" s="41"/>
      <c r="Q69" s="39"/>
      <c r="R69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70" spans="2:18" x14ac:dyDescent="0.2">
      <c r="B70" s="29" t="s">
        <v>137</v>
      </c>
      <c r="C70" s="30" t="s">
        <v>138</v>
      </c>
      <c r="D70" s="31">
        <f>Tabla1341220283846546270788694102110118126134142150134158166174182190158166174198206214222230238246254262270278286294302310318326334340348356364372380[[#This Row],[STOCK]]</f>
        <v>0</v>
      </c>
      <c r="E70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0</v>
      </c>
      <c r="F70" s="30"/>
      <c r="G70" s="31"/>
      <c r="H70" s="42"/>
      <c r="I70" s="43"/>
      <c r="J70" s="44"/>
      <c r="K70" s="42"/>
      <c r="L70" s="43"/>
      <c r="M70" s="44"/>
      <c r="N70" s="42"/>
      <c r="O70" s="43"/>
      <c r="P70" s="44"/>
      <c r="Q70" s="42"/>
      <c r="R70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71" spans="2:18" x14ac:dyDescent="0.2">
      <c r="B71" s="22" t="s">
        <v>139</v>
      </c>
      <c r="C71" s="23" t="s">
        <v>140</v>
      </c>
      <c r="D71" s="24">
        <f>Tabla1341220283846546270788694102110118126134142150134158166174182190158166174198206214222230238246254262270278286294302310318326334340348356364372380[[#This Row],[STOCK]]</f>
        <v>479</v>
      </c>
      <c r="E71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474</v>
      </c>
      <c r="F71" s="23"/>
      <c r="G71" s="24"/>
      <c r="H71" s="39"/>
      <c r="I71" s="40"/>
      <c r="J71" s="41"/>
      <c r="K71" s="39"/>
      <c r="L71" s="40"/>
      <c r="M71" s="41"/>
      <c r="N71" s="39"/>
      <c r="O71" s="40">
        <v>5</v>
      </c>
      <c r="P71" s="41"/>
      <c r="Q71" s="39"/>
      <c r="R71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5</v>
      </c>
    </row>
    <row r="72" spans="2:18" x14ac:dyDescent="0.2">
      <c r="B72" s="29" t="s">
        <v>141</v>
      </c>
      <c r="C72" s="30" t="s">
        <v>142</v>
      </c>
      <c r="D72" s="31">
        <f>Tabla1341220283846546270788694102110118126134142150134158166174182190158166174198206214222230238246254262270278286294302310318326334340348356364372380[[#This Row],[STOCK]]</f>
        <v>232</v>
      </c>
      <c r="E72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232</v>
      </c>
      <c r="F72" s="30"/>
      <c r="G72" s="31"/>
      <c r="H72" s="42"/>
      <c r="I72" s="43"/>
      <c r="J72" s="44"/>
      <c r="K72" s="42"/>
      <c r="L72" s="43"/>
      <c r="M72" s="44"/>
      <c r="N72" s="42"/>
      <c r="O72" s="43"/>
      <c r="P72" s="44"/>
      <c r="Q72" s="42"/>
      <c r="R72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73" spans="2:18" x14ac:dyDescent="0.2">
      <c r="B73" s="22" t="s">
        <v>143</v>
      </c>
      <c r="C73" s="23" t="s">
        <v>144</v>
      </c>
      <c r="D73" s="24">
        <f>Tabla1341220283846546270788694102110118126134142150134158166174182190158166174198206214222230238246254262270278286294302310318326334340348356364372380[[#This Row],[STOCK]]</f>
        <v>540</v>
      </c>
      <c r="E73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540</v>
      </c>
      <c r="F73" s="23"/>
      <c r="G73" s="24"/>
      <c r="H73" s="39"/>
      <c r="I73" s="40"/>
      <c r="J73" s="41"/>
      <c r="K73" s="39"/>
      <c r="L73" s="40"/>
      <c r="M73" s="41"/>
      <c r="N73" s="39"/>
      <c r="O73" s="40"/>
      <c r="P73" s="41"/>
      <c r="Q73" s="39"/>
      <c r="R73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74" spans="2:18" x14ac:dyDescent="0.2">
      <c r="B74" s="29" t="s">
        <v>145</v>
      </c>
      <c r="C74" s="30" t="s">
        <v>146</v>
      </c>
      <c r="D74" s="31">
        <f>Tabla1341220283846546270788694102110118126134142150134158166174182190158166174198206214222230238246254262270278286294302310318326334340348356364372380[[#This Row],[STOCK]]</f>
        <v>831</v>
      </c>
      <c r="E74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820</v>
      </c>
      <c r="F74" s="30"/>
      <c r="G74" s="31"/>
      <c r="H74" s="42"/>
      <c r="I74" s="43">
        <v>2</v>
      </c>
      <c r="J74" s="44"/>
      <c r="K74" s="42"/>
      <c r="L74" s="43"/>
      <c r="M74" s="44">
        <v>5</v>
      </c>
      <c r="N74" s="42"/>
      <c r="O74" s="43">
        <v>3</v>
      </c>
      <c r="P74" s="44"/>
      <c r="Q74" s="42">
        <v>1</v>
      </c>
      <c r="R74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11</v>
      </c>
    </row>
    <row r="75" spans="2:18" x14ac:dyDescent="0.2">
      <c r="B75" s="22" t="s">
        <v>147</v>
      </c>
      <c r="C75" s="23" t="s">
        <v>148</v>
      </c>
      <c r="D75" s="24">
        <f>Tabla1341220283846546270788694102110118126134142150134158166174182190158166174198206214222230238246254262270278286294302310318326334340348356364372380[[#This Row],[STOCK]]</f>
        <v>185</v>
      </c>
      <c r="E75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183</v>
      </c>
      <c r="F75" s="23"/>
      <c r="G75" s="24"/>
      <c r="H75" s="39"/>
      <c r="I75" s="40">
        <v>1</v>
      </c>
      <c r="J75" s="41"/>
      <c r="K75" s="39"/>
      <c r="L75" s="40"/>
      <c r="M75" s="41"/>
      <c r="N75" s="39"/>
      <c r="O75" s="40"/>
      <c r="P75" s="41"/>
      <c r="Q75" s="39">
        <v>1</v>
      </c>
      <c r="R75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2</v>
      </c>
    </row>
    <row r="76" spans="2:18" x14ac:dyDescent="0.2">
      <c r="B76" s="29" t="s">
        <v>149</v>
      </c>
      <c r="C76" s="30" t="s">
        <v>150</v>
      </c>
      <c r="D76" s="31">
        <f>Tabla1341220283846546270788694102110118126134142150134158166174182190158166174198206214222230238246254262270278286294302310318326334340348356364372380[[#This Row],[STOCK]]</f>
        <v>75</v>
      </c>
      <c r="E76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73</v>
      </c>
      <c r="F76" s="30"/>
      <c r="G76" s="31"/>
      <c r="H76" s="42"/>
      <c r="I76" s="43">
        <v>2</v>
      </c>
      <c r="J76" s="44"/>
      <c r="K76" s="42"/>
      <c r="L76" s="43"/>
      <c r="M76" s="44"/>
      <c r="N76" s="42">
        <v>1</v>
      </c>
      <c r="O76" s="43"/>
      <c r="P76" s="44"/>
      <c r="Q76" s="42">
        <v>1</v>
      </c>
      <c r="R76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3</v>
      </c>
    </row>
    <row r="77" spans="2:18" x14ac:dyDescent="0.2">
      <c r="B77" s="22" t="s">
        <v>151</v>
      </c>
      <c r="C77" s="23" t="s">
        <v>152</v>
      </c>
      <c r="D77" s="24">
        <f>Tabla1341220283846546270788694102110118126134142150134158166174182190158166174198206214222230238246254262270278286294302310318326334340348356364372380[[#This Row],[STOCK]]</f>
        <v>498</v>
      </c>
      <c r="E77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498</v>
      </c>
      <c r="F77" s="23"/>
      <c r="G77" s="24"/>
      <c r="H77" s="39"/>
      <c r="I77" s="40"/>
      <c r="J77" s="41"/>
      <c r="K77" s="39"/>
      <c r="L77" s="40"/>
      <c r="M77" s="41"/>
      <c r="N77" s="39"/>
      <c r="O77" s="40"/>
      <c r="P77" s="41"/>
      <c r="Q77" s="39"/>
      <c r="R77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78" spans="2:18" x14ac:dyDescent="0.2">
      <c r="B78" s="29" t="s">
        <v>153</v>
      </c>
      <c r="C78" s="30" t="s">
        <v>154</v>
      </c>
      <c r="D78" s="31">
        <f>Tabla1341220283846546270788694102110118126134142150134158166174182190158166174198206214222230238246254262270278286294302310318326334340348356364372380[[#This Row],[STOCK]]</f>
        <v>426</v>
      </c>
      <c r="E78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426</v>
      </c>
      <c r="F78" s="30"/>
      <c r="G78" s="31"/>
      <c r="H78" s="42"/>
      <c r="I78" s="43"/>
      <c r="J78" s="44"/>
      <c r="K78" s="42"/>
      <c r="L78" s="43"/>
      <c r="M78" s="44"/>
      <c r="N78" s="42"/>
      <c r="O78" s="43"/>
      <c r="P78" s="44"/>
      <c r="Q78" s="42"/>
      <c r="R78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79" spans="2:18" x14ac:dyDescent="0.2">
      <c r="B79" s="22" t="s">
        <v>155</v>
      </c>
      <c r="C79" s="23" t="s">
        <v>156</v>
      </c>
      <c r="D79" s="24">
        <f>Tabla1341220283846546270788694102110118126134142150134158166174182190158166174198206214222230238246254262270278286294302310318326334340348356364372380[[#This Row],[STOCK]]</f>
        <v>137</v>
      </c>
      <c r="E79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137</v>
      </c>
      <c r="F79" s="23"/>
      <c r="G79" s="24"/>
      <c r="H79" s="39"/>
      <c r="I79" s="40"/>
      <c r="J79" s="41"/>
      <c r="K79" s="39"/>
      <c r="L79" s="40"/>
      <c r="M79" s="41"/>
      <c r="N79" s="39"/>
      <c r="O79" s="40"/>
      <c r="P79" s="41"/>
      <c r="Q79" s="39"/>
      <c r="R79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80" spans="2:18" x14ac:dyDescent="0.2">
      <c r="B80" s="29" t="s">
        <v>157</v>
      </c>
      <c r="C80" s="30" t="s">
        <v>158</v>
      </c>
      <c r="D80" s="31">
        <f>Tabla1341220283846546270788694102110118126134142150134158166174182190158166174198206214222230238246254262270278286294302310318326334340348356364372380[[#This Row],[STOCK]]</f>
        <v>782</v>
      </c>
      <c r="E80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782</v>
      </c>
      <c r="F80" s="30"/>
      <c r="G80" s="31"/>
      <c r="H80" s="42"/>
      <c r="I80" s="43"/>
      <c r="J80" s="44"/>
      <c r="K80" s="42"/>
      <c r="L80" s="43"/>
      <c r="M80" s="44"/>
      <c r="N80" s="42"/>
      <c r="O80" s="43"/>
      <c r="P80" s="44"/>
      <c r="Q80" s="42"/>
      <c r="R80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81" spans="2:18" s="53" customFormat="1" x14ac:dyDescent="0.2">
      <c r="B81" s="46" t="s">
        <v>159</v>
      </c>
      <c r="C81" s="47" t="s">
        <v>160</v>
      </c>
      <c r="D81" s="48">
        <f>Tabla1341220283846546270788694102110118126134142150134158166174182190158166174198206214222230238246254262270278286294302310318326334340348356364372380[[#This Row],[STOCK]]</f>
        <v>259</v>
      </c>
      <c r="E81" s="49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259</v>
      </c>
      <c r="F81" s="47"/>
      <c r="G81" s="48"/>
      <c r="H81" s="50"/>
      <c r="I81" s="51"/>
      <c r="J81" s="52"/>
      <c r="K81" s="50"/>
      <c r="L81" s="51"/>
      <c r="M81" s="52"/>
      <c r="N81" s="50"/>
      <c r="O81" s="51"/>
      <c r="P81" s="52"/>
      <c r="Q81" s="50"/>
      <c r="R81" s="47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82" spans="2:18" x14ac:dyDescent="0.2">
      <c r="B82" s="29" t="s">
        <v>161</v>
      </c>
      <c r="C82" s="30" t="s">
        <v>162</v>
      </c>
      <c r="D82" s="31">
        <f>Tabla1341220283846546270788694102110118126134142150134158166174182190158166174198206214222230238246254262270278286294302310318326334340348356364372380[[#This Row],[STOCK]]</f>
        <v>505</v>
      </c>
      <c r="E82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505</v>
      </c>
      <c r="F82" s="30"/>
      <c r="G82" s="31"/>
      <c r="H82" s="42"/>
      <c r="I82" s="43"/>
      <c r="J82" s="44"/>
      <c r="K82" s="42"/>
      <c r="L82" s="43"/>
      <c r="M82" s="44"/>
      <c r="N82" s="42"/>
      <c r="O82" s="43"/>
      <c r="P82" s="44"/>
      <c r="Q82" s="42"/>
      <c r="R82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83" spans="2:18" x14ac:dyDescent="0.2">
      <c r="B83" s="22" t="s">
        <v>163</v>
      </c>
      <c r="C83" s="23" t="s">
        <v>164</v>
      </c>
      <c r="D83" s="24">
        <f>Tabla1341220283846546270788694102110118126134142150134158166174182190158166174198206214222230238246254262270278286294302310318326334340348356364372380[[#This Row],[STOCK]]</f>
        <v>233</v>
      </c>
      <c r="E83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233</v>
      </c>
      <c r="F83" s="23"/>
      <c r="G83" s="24"/>
      <c r="H83" s="39"/>
      <c r="I83" s="40"/>
      <c r="J83" s="41"/>
      <c r="K83" s="39"/>
      <c r="L83" s="40"/>
      <c r="M83" s="41"/>
      <c r="N83" s="39"/>
      <c r="O83" s="40"/>
      <c r="P83" s="41"/>
      <c r="Q83" s="39"/>
      <c r="R83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84" spans="2:18" x14ac:dyDescent="0.2">
      <c r="B84" s="29" t="s">
        <v>165</v>
      </c>
      <c r="C84" s="30" t="s">
        <v>166</v>
      </c>
      <c r="D84" s="31">
        <f>Tabla1341220283846546270788694102110118126134142150134158166174182190158166174198206214222230238246254262270278286294302310318326334340348356364372380[[#This Row],[STOCK]]</f>
        <v>270</v>
      </c>
      <c r="E84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270</v>
      </c>
      <c r="F84" s="30"/>
      <c r="G84" s="31"/>
      <c r="H84" s="42"/>
      <c r="I84" s="43"/>
      <c r="J84" s="44"/>
      <c r="K84" s="42"/>
      <c r="L84" s="43"/>
      <c r="M84" s="44"/>
      <c r="N84" s="42"/>
      <c r="O84" s="43"/>
      <c r="P84" s="44"/>
      <c r="Q84" s="42"/>
      <c r="R84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85" spans="2:18" x14ac:dyDescent="0.2">
      <c r="B85" s="22" t="s">
        <v>167</v>
      </c>
      <c r="C85" s="23" t="s">
        <v>168</v>
      </c>
      <c r="D85" s="24">
        <f>Tabla1341220283846546270788694102110118126134142150134158166174182190158166174198206214222230238246254262270278286294302310318326334340348356364372380[[#This Row],[STOCK]]</f>
        <v>17</v>
      </c>
      <c r="E85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17</v>
      </c>
      <c r="F85" s="23"/>
      <c r="G85" s="24"/>
      <c r="H85" s="39"/>
      <c r="I85" s="40"/>
      <c r="J85" s="41"/>
      <c r="K85" s="39"/>
      <c r="L85" s="40"/>
      <c r="M85" s="41"/>
      <c r="N85" s="39"/>
      <c r="O85" s="40"/>
      <c r="P85" s="41"/>
      <c r="Q85" s="39"/>
      <c r="R85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86" spans="2:18" x14ac:dyDescent="0.2">
      <c r="B86" s="29" t="s">
        <v>169</v>
      </c>
      <c r="C86" s="30" t="s">
        <v>170</v>
      </c>
      <c r="D86" s="31">
        <f>Tabla1341220283846546270788694102110118126134142150134158166174182190158166174198206214222230238246254262270278286294302310318326334340348356364372380[[#This Row],[STOCK]]</f>
        <v>293</v>
      </c>
      <c r="E86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293</v>
      </c>
      <c r="F86" s="30"/>
      <c r="G86" s="31"/>
      <c r="H86" s="42"/>
      <c r="I86" s="43"/>
      <c r="J86" s="44"/>
      <c r="K86" s="42"/>
      <c r="L86" s="43"/>
      <c r="M86" s="44"/>
      <c r="N86" s="42"/>
      <c r="O86" s="43"/>
      <c r="P86" s="44"/>
      <c r="Q86" s="42"/>
      <c r="R86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87" spans="2:18" x14ac:dyDescent="0.2">
      <c r="B87" s="22" t="s">
        <v>171</v>
      </c>
      <c r="C87" s="23" t="s">
        <v>172</v>
      </c>
      <c r="D87" s="24">
        <f>Tabla1341220283846546270788694102110118126134142150134158166174182190158166174198206214222230238246254262270278286294302310318326334340348356364372380[[#This Row],[STOCK]]</f>
        <v>81</v>
      </c>
      <c r="E87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81</v>
      </c>
      <c r="F87" s="23"/>
      <c r="G87" s="24"/>
      <c r="H87" s="39"/>
      <c r="I87" s="40"/>
      <c r="J87" s="41"/>
      <c r="K87" s="39"/>
      <c r="L87" s="40"/>
      <c r="M87" s="41"/>
      <c r="N87" s="39"/>
      <c r="O87" s="40"/>
      <c r="P87" s="41"/>
      <c r="Q87" s="39"/>
      <c r="R87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88" spans="2:18" x14ac:dyDescent="0.2">
      <c r="B88" s="29" t="s">
        <v>173</v>
      </c>
      <c r="C88" s="30" t="s">
        <v>174</v>
      </c>
      <c r="D88" s="31">
        <f>Tabla1341220283846546270788694102110118126134142150134158166174182190158166174198206214222230238246254262270278286294302310318326334340348356364372380[[#This Row],[STOCK]]</f>
        <v>377</v>
      </c>
      <c r="E88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377</v>
      </c>
      <c r="F88" s="30"/>
      <c r="G88" s="31"/>
      <c r="H88" s="42"/>
      <c r="I88" s="43"/>
      <c r="J88" s="44"/>
      <c r="K88" s="42"/>
      <c r="L88" s="43"/>
      <c r="M88" s="44"/>
      <c r="N88" s="42"/>
      <c r="O88" s="43"/>
      <c r="P88" s="44"/>
      <c r="Q88" s="42"/>
      <c r="R88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89" spans="2:18" x14ac:dyDescent="0.2">
      <c r="B89" s="22" t="s">
        <v>175</v>
      </c>
      <c r="C89" s="23" t="s">
        <v>176</v>
      </c>
      <c r="D89" s="24">
        <f>Tabla1341220283846546270788694102110118126134142150134158166174182190158166174198206214222230238246254262270278286294302310318326334340348356364372380[[#This Row],[STOCK]]</f>
        <v>53</v>
      </c>
      <c r="E89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53</v>
      </c>
      <c r="F89" s="23"/>
      <c r="G89" s="24"/>
      <c r="H89" s="39"/>
      <c r="I89" s="40"/>
      <c r="J89" s="41"/>
      <c r="K89" s="39"/>
      <c r="L89" s="40"/>
      <c r="M89" s="41"/>
      <c r="N89" s="39"/>
      <c r="O89" s="40"/>
      <c r="P89" s="41"/>
      <c r="Q89" s="39"/>
      <c r="R89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90" spans="2:18" x14ac:dyDescent="0.2">
      <c r="B90" s="29" t="s">
        <v>177</v>
      </c>
      <c r="C90" s="30" t="s">
        <v>178</v>
      </c>
      <c r="D90" s="31">
        <f>Tabla1341220283846546270788694102110118126134142150134158166174182190158166174198206214222230238246254262270278286294302310318326334340348356364372380[[#This Row],[STOCK]]</f>
        <v>351</v>
      </c>
      <c r="E90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351</v>
      </c>
      <c r="F90" s="30"/>
      <c r="G90" s="31"/>
      <c r="H90" s="42"/>
      <c r="I90" s="43"/>
      <c r="J90" s="44"/>
      <c r="K90" s="42"/>
      <c r="L90" s="43"/>
      <c r="M90" s="44"/>
      <c r="N90" s="42"/>
      <c r="O90" s="43"/>
      <c r="P90" s="44"/>
      <c r="Q90" s="42"/>
      <c r="R90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91" spans="2:18" x14ac:dyDescent="0.2">
      <c r="B91" s="22" t="s">
        <v>179</v>
      </c>
      <c r="C91" s="23" t="s">
        <v>180</v>
      </c>
      <c r="D91" s="24">
        <f>Tabla1341220283846546270788694102110118126134142150134158166174182190158166174198206214222230238246254262270278286294302310318326334340348356364372380[[#This Row],[STOCK]]</f>
        <v>41</v>
      </c>
      <c r="E91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41</v>
      </c>
      <c r="F91" s="23"/>
      <c r="G91" s="24"/>
      <c r="H91" s="39"/>
      <c r="I91" s="40"/>
      <c r="J91" s="41"/>
      <c r="K91" s="39"/>
      <c r="L91" s="40"/>
      <c r="M91" s="41"/>
      <c r="N91" s="39"/>
      <c r="O91" s="40"/>
      <c r="P91" s="41"/>
      <c r="Q91" s="39"/>
      <c r="R91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92" spans="2:18" x14ac:dyDescent="0.2">
      <c r="B92" s="29" t="s">
        <v>181</v>
      </c>
      <c r="C92" s="30" t="s">
        <v>182</v>
      </c>
      <c r="D92" s="31">
        <f>Tabla1341220283846546270788694102110118126134142150134158166174182190158166174198206214222230238246254262270278286294302310318326334340348356364372380[[#This Row],[STOCK]]</f>
        <v>293</v>
      </c>
      <c r="E92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293</v>
      </c>
      <c r="F92" s="30"/>
      <c r="G92" s="31"/>
      <c r="H92" s="42"/>
      <c r="I92" s="43"/>
      <c r="J92" s="44"/>
      <c r="K92" s="42"/>
      <c r="L92" s="43"/>
      <c r="M92" s="44"/>
      <c r="N92" s="42"/>
      <c r="O92" s="43"/>
      <c r="P92" s="44"/>
      <c r="Q92" s="42"/>
      <c r="R92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93" spans="2:18" x14ac:dyDescent="0.2">
      <c r="B93" s="22" t="s">
        <v>183</v>
      </c>
      <c r="C93" s="23" t="s">
        <v>184</v>
      </c>
      <c r="D93" s="24">
        <f>Tabla1341220283846546270788694102110118126134142150134158166174182190158166174198206214222230238246254262270278286294302310318326334340348356364372380[[#This Row],[STOCK]]</f>
        <v>0</v>
      </c>
      <c r="E93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0</v>
      </c>
      <c r="F93" s="23"/>
      <c r="G93" s="24"/>
      <c r="H93" s="39"/>
      <c r="I93" s="40"/>
      <c r="J93" s="41"/>
      <c r="K93" s="39"/>
      <c r="L93" s="40"/>
      <c r="M93" s="41"/>
      <c r="N93" s="39"/>
      <c r="O93" s="40"/>
      <c r="P93" s="41"/>
      <c r="Q93" s="39"/>
      <c r="R93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94" spans="2:18" x14ac:dyDescent="0.2">
      <c r="B94" s="29" t="s">
        <v>185</v>
      </c>
      <c r="C94" s="30" t="s">
        <v>186</v>
      </c>
      <c r="D94" s="31">
        <f>Tabla1341220283846546270788694102110118126134142150134158166174182190158166174198206214222230238246254262270278286294302310318326334340348356364372380[[#This Row],[STOCK]]</f>
        <v>0</v>
      </c>
      <c r="E94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0</v>
      </c>
      <c r="F94" s="30"/>
      <c r="G94" s="31"/>
      <c r="H94" s="42"/>
      <c r="I94" s="43"/>
      <c r="J94" s="44"/>
      <c r="K94" s="42"/>
      <c r="L94" s="43"/>
      <c r="M94" s="44"/>
      <c r="N94" s="42"/>
      <c r="O94" s="43"/>
      <c r="P94" s="44"/>
      <c r="Q94" s="42"/>
      <c r="R94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95" spans="2:18" x14ac:dyDescent="0.2">
      <c r="B95" s="22" t="s">
        <v>187</v>
      </c>
      <c r="C95" s="23" t="s">
        <v>188</v>
      </c>
      <c r="D95" s="24">
        <f>Tabla1341220283846546270788694102110118126134142150134158166174182190158166174198206214222230238246254262270278286294302310318326334340348356364372380[[#This Row],[STOCK]]</f>
        <v>0</v>
      </c>
      <c r="E95" s="25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0</v>
      </c>
      <c r="F95" s="23"/>
      <c r="G95" s="24"/>
      <c r="H95" s="39"/>
      <c r="I95" s="40"/>
      <c r="J95" s="41"/>
      <c r="K95" s="39"/>
      <c r="L95" s="40"/>
      <c r="M95" s="41"/>
      <c r="N95" s="39"/>
      <c r="O95" s="40"/>
      <c r="P95" s="41"/>
      <c r="Q95" s="39"/>
      <c r="R95" s="23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96" spans="2:18" x14ac:dyDescent="0.2">
      <c r="B96" s="29" t="s">
        <v>189</v>
      </c>
      <c r="C96" s="30" t="s">
        <v>190</v>
      </c>
      <c r="D96" s="31">
        <f>Tabla1341220283846546270788694102110118126134142150134158166174182190158166174198206214222230238246254262270278286294302310318326334340348356364372380[[#This Row],[STOCK]]</f>
        <v>0</v>
      </c>
      <c r="E96" s="32">
        <f>Tabla134122028384654627078869410211011812613414215013415816617418219015816617419820621422223023824625426227027828629430231031832633434034835636437238012[[#This Row],[INVENTARIO INICIAL]]+Tabla134122028384654627078869410211011812613414215013415816617418219015816617419820621422223023824625426227027828629430231031832633434034835636437238012[[#This Row],[INGRESO LUNES]]-Tabla134122028384654627078869410211011812613414215013415816617418219015816617419820621422223023824625426227027828629430231031832633434034835636437238012[[#This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Row],[INGRESO MARTES]]-Tabla134122028384654627078869410211011812613414215013415816617418219015816617419820621422223023824625426227027828629430231031832633434034835636437238012[[#This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Row],[INGRESO MIERCOLES]]-Tabla134122028384654627078869410211011812613414215013415816617418219015816617419820621422223023824625426227027828629430231031832633434034835636437238012[[#This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Row],[INGRESO JUEVES]]-Tabla134122028384654627078869410211011812613414215013415816617418219015816617419820621422223023824625426227027828629430231031832633434034835636437238012[[#This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Row],[INGRESO VIERNES]]-Tabla134122028384654627078869410211011812613414215013415816617418219015816617419820621422223023824625426227027828629430231031832633434034835636437238012[[#This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 INGRESO SABADO]]-Tabla134122028384654627078869410211011812613414215013415816617418219015816617419820621422223023824625426227027828629430231031832633434034835636437238012[[#This Row],[VENTA SABADO]]</f>
        <v>0</v>
      </c>
      <c r="F96" s="30"/>
      <c r="G96" s="31"/>
      <c r="H96" s="42"/>
      <c r="I96" s="43"/>
      <c r="J96" s="44"/>
      <c r="K96" s="42"/>
      <c r="L96" s="43"/>
      <c r="M96" s="44"/>
      <c r="N96" s="42"/>
      <c r="O96" s="43"/>
      <c r="P96" s="44"/>
      <c r="Q96" s="42"/>
      <c r="R96" s="30">
        <f>Tabla134122028384654627078869410211011812613414215013415816617418219015816617419820621422223023824625426227027828629430231031832633434034835636437238012[[#This Row],[VENTA LUNES]]+Tabla134122028384654627078869410211011812613414215013415816617418219015816617419820621422223023824625426227027828629430231031832633434034835636437238012[[#This Row],[VENTA MARTES]]+Tabla134122028384654627078869410211011812613414215013415816617418219015816617419820621422223023824625426227027828629430231031832633434034835636437238012[[#This Row],[VENTA MIERCOLES]]+Tabla134122028384654627078869410211011812613414215013415816617418219015816617419820621422223023824625426227027828629430231031832633434034835636437238012[[#This Row],[VENTA JUEVES]]+Tabla134122028384654627078869410211011812613414215013415816617418219015816617419820621422223023824625426227027828629430231031832633434034835636437238012[[#This Row],[VENTA VIERNES]]+Tabla134122028384654627078869410211011812613414215013415816617418219015816617419820621422223023824625426227027828629430231031832633434034835636437238012[[#This Row],[VENTA SABADO]]</f>
        <v>0</v>
      </c>
    </row>
    <row r="98" spans="2:18" s="54" customFormat="1" ht="38.25" x14ac:dyDescent="0.2">
      <c r="B98" s="17" t="s">
        <v>191</v>
      </c>
      <c r="C98" s="17" t="s">
        <v>5</v>
      </c>
      <c r="D98" s="17" t="s">
        <v>6</v>
      </c>
      <c r="E98" s="37" t="s">
        <v>7</v>
      </c>
      <c r="F98" s="17" t="s">
        <v>8</v>
      </c>
      <c r="G98" s="17" t="s">
        <v>51</v>
      </c>
      <c r="H98" s="17" t="s">
        <v>10</v>
      </c>
      <c r="I98" s="17" t="s">
        <v>11</v>
      </c>
      <c r="J98" s="17" t="s">
        <v>12</v>
      </c>
      <c r="K98" s="17" t="s">
        <v>13</v>
      </c>
      <c r="L98" s="17" t="s">
        <v>14</v>
      </c>
      <c r="M98" s="17" t="s">
        <v>15</v>
      </c>
      <c r="N98" s="17" t="s">
        <v>16</v>
      </c>
      <c r="O98" s="17" t="s">
        <v>17</v>
      </c>
      <c r="P98" s="17" t="s">
        <v>18</v>
      </c>
      <c r="Q98" s="17" t="s">
        <v>19</v>
      </c>
      <c r="R98" s="17" t="s">
        <v>20</v>
      </c>
    </row>
    <row r="99" spans="2:18" x14ac:dyDescent="0.2">
      <c r="B99" s="22" t="s">
        <v>192</v>
      </c>
      <c r="C99" s="23" t="s">
        <v>193</v>
      </c>
      <c r="D99" s="24">
        <f>Tabla13461321293947556371798795103111119127135143151135159167175183191159167175199207215223231239247255263271279287295303311319327335341349357365373381[[#This Row],[STOCK]]</f>
        <v>638</v>
      </c>
      <c r="E99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628</v>
      </c>
      <c r="F99" s="23"/>
      <c r="G99" s="24"/>
      <c r="H99" s="39"/>
      <c r="I99" s="40">
        <v>2</v>
      </c>
      <c r="J99" s="41">
        <v>3</v>
      </c>
      <c r="K99" s="39">
        <v>2</v>
      </c>
      <c r="L99" s="40"/>
      <c r="M99" s="41">
        <v>1</v>
      </c>
      <c r="N99" s="39"/>
      <c r="O99" s="40">
        <v>5</v>
      </c>
      <c r="P99" s="41"/>
      <c r="Q99" s="39">
        <v>3</v>
      </c>
      <c r="R99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13</v>
      </c>
    </row>
    <row r="100" spans="2:18" x14ac:dyDescent="0.2">
      <c r="B100" s="29" t="s">
        <v>194</v>
      </c>
      <c r="C100" s="30" t="s">
        <v>195</v>
      </c>
      <c r="D100" s="31">
        <f>Tabla13461321293947556371798795103111119127135143151135159167175183191159167175199207215223231239247255263271279287295303311319327335341349357365373381[[#This Row],[STOCK]]</f>
        <v>525</v>
      </c>
      <c r="E100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522</v>
      </c>
      <c r="F100" s="30"/>
      <c r="G100" s="31"/>
      <c r="H100" s="42"/>
      <c r="I100" s="43">
        <v>2</v>
      </c>
      <c r="J100" s="44">
        <v>5</v>
      </c>
      <c r="K100" s="42">
        <v>2</v>
      </c>
      <c r="L100" s="43"/>
      <c r="M100" s="44">
        <v>1</v>
      </c>
      <c r="N100" s="42"/>
      <c r="O100" s="43"/>
      <c r="P100" s="44"/>
      <c r="Q100" s="42">
        <v>3</v>
      </c>
      <c r="R100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8</v>
      </c>
    </row>
    <row r="101" spans="2:18" x14ac:dyDescent="0.2">
      <c r="B101" s="22" t="s">
        <v>196</v>
      </c>
      <c r="C101" s="23" t="s">
        <v>197</v>
      </c>
      <c r="D101" s="24">
        <f>Tabla13461321293947556371798795103111119127135143151135159167175183191159167175199207215223231239247255263271279287295303311319327335341349357365373381[[#This Row],[STOCK]]</f>
        <v>245</v>
      </c>
      <c r="E101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232</v>
      </c>
      <c r="F101" s="23"/>
      <c r="G101" s="24"/>
      <c r="H101" s="39"/>
      <c r="I101" s="40">
        <v>2</v>
      </c>
      <c r="J101" s="41"/>
      <c r="K101" s="39">
        <v>2</v>
      </c>
      <c r="L101" s="40"/>
      <c r="M101" s="41">
        <v>1</v>
      </c>
      <c r="N101" s="39"/>
      <c r="O101" s="40">
        <v>5</v>
      </c>
      <c r="P101" s="41"/>
      <c r="Q101" s="39">
        <v>3</v>
      </c>
      <c r="R101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13</v>
      </c>
    </row>
    <row r="102" spans="2:18" x14ac:dyDescent="0.2">
      <c r="B102" s="29" t="s">
        <v>198</v>
      </c>
      <c r="C102" s="30" t="s">
        <v>199</v>
      </c>
      <c r="D102" s="31">
        <f>Tabla13461321293947556371798795103111119127135143151135159167175183191159167175199207215223231239247255263271279287295303311319327335341349357365373381[[#This Row],[STOCK]]</f>
        <v>648</v>
      </c>
      <c r="E102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634</v>
      </c>
      <c r="F102" s="30"/>
      <c r="G102" s="31"/>
      <c r="H102" s="42"/>
      <c r="I102" s="43">
        <v>2</v>
      </c>
      <c r="J102" s="44"/>
      <c r="K102" s="42"/>
      <c r="L102" s="43"/>
      <c r="M102" s="44"/>
      <c r="N102" s="42"/>
      <c r="O102" s="43">
        <v>12</v>
      </c>
      <c r="P102" s="44"/>
      <c r="Q102" s="42"/>
      <c r="R102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14</v>
      </c>
    </row>
    <row r="103" spans="2:18" x14ac:dyDescent="0.2">
      <c r="B103" s="22" t="s">
        <v>200</v>
      </c>
      <c r="C103" s="23" t="s">
        <v>201</v>
      </c>
      <c r="D103" s="24">
        <f>Tabla13461321293947556371798795103111119127135143151135159167175183191159167175199207215223231239247255263271279287295303311319327335341349357365373381[[#This Row],[STOCK]]</f>
        <v>89</v>
      </c>
      <c r="E103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74</v>
      </c>
      <c r="F103" s="23"/>
      <c r="G103" s="24"/>
      <c r="H103" s="39"/>
      <c r="I103" s="40">
        <v>2</v>
      </c>
      <c r="J103" s="41"/>
      <c r="K103" s="39"/>
      <c r="L103" s="40"/>
      <c r="M103" s="41"/>
      <c r="N103" s="39"/>
      <c r="O103" s="40">
        <v>10</v>
      </c>
      <c r="P103" s="41"/>
      <c r="Q103" s="39">
        <v>3</v>
      </c>
      <c r="R103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15</v>
      </c>
    </row>
    <row r="104" spans="2:18" x14ac:dyDescent="0.2">
      <c r="B104" s="29" t="s">
        <v>202</v>
      </c>
      <c r="C104" s="30" t="s">
        <v>203</v>
      </c>
      <c r="D104" s="31">
        <f>Tabla13461321293947556371798795103111119127135143151135159167175183191159167175199207215223231239247255263271279287295303311319327335341349357365373381[[#This Row],[STOCK]]</f>
        <v>82</v>
      </c>
      <c r="E104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68</v>
      </c>
      <c r="F104" s="30"/>
      <c r="G104" s="31"/>
      <c r="H104" s="42"/>
      <c r="I104" s="43">
        <v>2</v>
      </c>
      <c r="J104" s="44"/>
      <c r="K104" s="42"/>
      <c r="L104" s="43"/>
      <c r="M104" s="44"/>
      <c r="N104" s="42"/>
      <c r="O104" s="43">
        <v>12</v>
      </c>
      <c r="P104" s="44"/>
      <c r="Q104" s="42"/>
      <c r="R104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14</v>
      </c>
    </row>
    <row r="105" spans="2:18" x14ac:dyDescent="0.2">
      <c r="B105" s="22" t="s">
        <v>204</v>
      </c>
      <c r="C105" s="23" t="s">
        <v>205</v>
      </c>
      <c r="D105" s="24">
        <f>Tabla13461321293947556371798795103111119127135143151135159167175183191159167175199207215223231239247255263271279287295303311319327335341349357365373381[[#This Row],[STOCK]]</f>
        <v>275</v>
      </c>
      <c r="E105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275</v>
      </c>
      <c r="F105" s="23"/>
      <c r="G105" s="24"/>
      <c r="H105" s="39"/>
      <c r="I105" s="40"/>
      <c r="J105" s="41"/>
      <c r="K105" s="39"/>
      <c r="L105" s="40"/>
      <c r="M105" s="41"/>
      <c r="N105" s="39"/>
      <c r="O105" s="40"/>
      <c r="P105" s="41"/>
      <c r="Q105" s="39"/>
      <c r="R105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0</v>
      </c>
    </row>
    <row r="106" spans="2:18" x14ac:dyDescent="0.2">
      <c r="B106" s="29" t="s">
        <v>206</v>
      </c>
      <c r="C106" s="30" t="s">
        <v>207</v>
      </c>
      <c r="D106" s="31">
        <f>Tabla13461321293947556371798795103111119127135143151135159167175183191159167175199207215223231239247255263271279287295303311319327335341349357365373381[[#This Row],[STOCK]]</f>
        <v>487</v>
      </c>
      <c r="E106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487</v>
      </c>
      <c r="F106" s="30"/>
      <c r="G106" s="31"/>
      <c r="H106" s="42"/>
      <c r="I106" s="43"/>
      <c r="J106" s="44"/>
      <c r="K106" s="42"/>
      <c r="L106" s="43"/>
      <c r="M106" s="44"/>
      <c r="N106" s="42"/>
      <c r="O106" s="43"/>
      <c r="P106" s="44"/>
      <c r="Q106" s="42"/>
      <c r="R106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0</v>
      </c>
    </row>
    <row r="107" spans="2:18" x14ac:dyDescent="0.2">
      <c r="B107" s="22" t="s">
        <v>208</v>
      </c>
      <c r="C107" s="23" t="s">
        <v>209</v>
      </c>
      <c r="D107" s="24">
        <f>Tabla13461321293947556371798795103111119127135143151135159167175183191159167175199207215223231239247255263271279287295303311319327335341349357365373381[[#This Row],[STOCK]]</f>
        <v>476</v>
      </c>
      <c r="E107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476</v>
      </c>
      <c r="F107" s="23"/>
      <c r="G107" s="24"/>
      <c r="H107" s="39"/>
      <c r="I107" s="40"/>
      <c r="J107" s="41"/>
      <c r="K107" s="39"/>
      <c r="L107" s="40"/>
      <c r="M107" s="41"/>
      <c r="N107" s="39"/>
      <c r="O107" s="40"/>
      <c r="P107" s="41"/>
      <c r="Q107" s="39"/>
      <c r="R107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0</v>
      </c>
    </row>
    <row r="108" spans="2:18" x14ac:dyDescent="0.2">
      <c r="B108" s="29" t="s">
        <v>210</v>
      </c>
      <c r="C108" s="30" t="s">
        <v>211</v>
      </c>
      <c r="D108" s="31">
        <f>Tabla13461321293947556371798795103111119127135143151135159167175183191159167175199207215223231239247255263271279287295303311319327335341349357365373381[[#This Row],[STOCK]]</f>
        <v>490</v>
      </c>
      <c r="E108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490</v>
      </c>
      <c r="F108" s="30"/>
      <c r="G108" s="31"/>
      <c r="H108" s="42"/>
      <c r="I108" s="43"/>
      <c r="J108" s="44"/>
      <c r="K108" s="42"/>
      <c r="L108" s="43"/>
      <c r="M108" s="44"/>
      <c r="N108" s="42"/>
      <c r="O108" s="43"/>
      <c r="P108" s="44"/>
      <c r="Q108" s="42"/>
      <c r="R108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0</v>
      </c>
    </row>
    <row r="109" spans="2:18" ht="12.75" customHeight="1" x14ac:dyDescent="0.2">
      <c r="B109" s="22" t="s">
        <v>212</v>
      </c>
      <c r="C109" s="23" t="s">
        <v>213</v>
      </c>
      <c r="D109" s="24">
        <f>Tabla13461321293947556371798795103111119127135143151135159167175183191159167175199207215223231239247255263271279287295303311319327335341349357365373381[[#This Row],[STOCK]]</f>
        <v>286</v>
      </c>
      <c r="E109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283</v>
      </c>
      <c r="F109" s="23"/>
      <c r="G109" s="24"/>
      <c r="H109" s="39"/>
      <c r="I109" s="40"/>
      <c r="J109" s="41"/>
      <c r="K109" s="39"/>
      <c r="L109" s="40"/>
      <c r="M109" s="41"/>
      <c r="N109" s="39"/>
      <c r="O109" s="40"/>
      <c r="P109" s="41"/>
      <c r="Q109" s="39">
        <v>3</v>
      </c>
      <c r="R109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3</v>
      </c>
    </row>
    <row r="110" spans="2:18" x14ac:dyDescent="0.2">
      <c r="B110" s="29" t="s">
        <v>214</v>
      </c>
      <c r="C110" s="30" t="s">
        <v>215</v>
      </c>
      <c r="D110" s="31">
        <f>Tabla13461321293947556371798795103111119127135143151135159167175183191159167175199207215223231239247255263271279287295303311319327335341349357365373381[[#This Row],[STOCK]]</f>
        <v>53</v>
      </c>
      <c r="E110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51</v>
      </c>
      <c r="F110" s="30"/>
      <c r="G110" s="31"/>
      <c r="H110" s="42"/>
      <c r="I110" s="43"/>
      <c r="J110" s="44"/>
      <c r="K110" s="42"/>
      <c r="L110" s="43"/>
      <c r="M110" s="44"/>
      <c r="N110" s="42"/>
      <c r="O110" s="43"/>
      <c r="P110" s="44"/>
      <c r="Q110" s="42">
        <v>2</v>
      </c>
      <c r="R110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2</v>
      </c>
    </row>
    <row r="111" spans="2:18" x14ac:dyDescent="0.2">
      <c r="B111" s="22" t="s">
        <v>216</v>
      </c>
      <c r="C111" s="23" t="s">
        <v>217</v>
      </c>
      <c r="D111" s="24">
        <f>Tabla13461321293947556371798795103111119127135143151135159167175183191159167175199207215223231239247255263271279287295303311319327335341349357365373381[[#This Row],[STOCK]]</f>
        <v>123</v>
      </c>
      <c r="E111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110</v>
      </c>
      <c r="F111" s="23"/>
      <c r="G111" s="24"/>
      <c r="H111" s="39"/>
      <c r="I111" s="40"/>
      <c r="J111" s="41"/>
      <c r="K111" s="39">
        <v>2</v>
      </c>
      <c r="L111" s="40"/>
      <c r="M111" s="41">
        <v>7</v>
      </c>
      <c r="N111" s="39"/>
      <c r="O111" s="40"/>
      <c r="P111" s="41"/>
      <c r="Q111" s="39">
        <v>4</v>
      </c>
      <c r="R111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13</v>
      </c>
    </row>
    <row r="112" spans="2:18" x14ac:dyDescent="0.2">
      <c r="B112" s="29" t="s">
        <v>218</v>
      </c>
      <c r="C112" s="30" t="s">
        <v>219</v>
      </c>
      <c r="D112" s="31">
        <f>Tabla13461321293947556371798795103111119127135143151135159167175183191159167175199207215223231239247255263271279287295303311319327335341349357365373381[[#This Row],[STOCK]]</f>
        <v>524</v>
      </c>
      <c r="E112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513</v>
      </c>
      <c r="F112" s="30"/>
      <c r="G112" s="31"/>
      <c r="H112" s="42"/>
      <c r="I112" s="43"/>
      <c r="J112" s="44"/>
      <c r="K112" s="42">
        <v>2</v>
      </c>
      <c r="L112" s="43"/>
      <c r="M112" s="44">
        <v>5</v>
      </c>
      <c r="N112" s="42"/>
      <c r="O112" s="43"/>
      <c r="P112" s="44"/>
      <c r="Q112" s="42">
        <v>4</v>
      </c>
      <c r="R112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11</v>
      </c>
    </row>
    <row r="113" spans="2:18" x14ac:dyDescent="0.2">
      <c r="B113" s="22" t="s">
        <v>220</v>
      </c>
      <c r="C113" s="23" t="s">
        <v>221</v>
      </c>
      <c r="D113" s="24">
        <f>Tabla13461321293947556371798795103111119127135143151135159167175183191159167175199207215223231239247255263271279287295303311319327335341349357365373381[[#This Row],[STOCK]]</f>
        <v>500</v>
      </c>
      <c r="E113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492</v>
      </c>
      <c r="F113" s="23"/>
      <c r="G113" s="24"/>
      <c r="H113" s="39"/>
      <c r="I113" s="40"/>
      <c r="J113" s="41"/>
      <c r="K113" s="39">
        <v>2</v>
      </c>
      <c r="L113" s="40"/>
      <c r="M113" s="41">
        <v>5</v>
      </c>
      <c r="N113" s="39"/>
      <c r="O113" s="40">
        <v>1</v>
      </c>
      <c r="P113" s="41"/>
      <c r="Q113" s="39"/>
      <c r="R113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8</v>
      </c>
    </row>
    <row r="114" spans="2:18" x14ac:dyDescent="0.2">
      <c r="B114" s="29" t="s">
        <v>222</v>
      </c>
      <c r="C114" s="30" t="s">
        <v>223</v>
      </c>
      <c r="D114" s="31">
        <f>Tabla13461321293947556371798795103111119127135143151135159167175183191159167175199207215223231239247255263271279287295303311319327335341349357365373381[[#This Row],[STOCK]]</f>
        <v>157</v>
      </c>
      <c r="E114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148</v>
      </c>
      <c r="F114" s="30"/>
      <c r="G114" s="31"/>
      <c r="H114" s="42"/>
      <c r="I114" s="43"/>
      <c r="J114" s="44"/>
      <c r="K114" s="42">
        <v>2</v>
      </c>
      <c r="L114" s="43"/>
      <c r="M114" s="44">
        <v>6</v>
      </c>
      <c r="N114" s="42"/>
      <c r="O114" s="43">
        <v>1</v>
      </c>
      <c r="P114" s="44"/>
      <c r="Q114" s="42"/>
      <c r="R114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9</v>
      </c>
    </row>
    <row r="115" spans="2:18" x14ac:dyDescent="0.2">
      <c r="B115" s="22" t="s">
        <v>224</v>
      </c>
      <c r="C115" s="23" t="s">
        <v>225</v>
      </c>
      <c r="D115" s="24">
        <f>Tabla13461321293947556371798795103111119127135143151135159167175183191159167175199207215223231239247255263271279287295303311319327335341349357365373381[[#This Row],[STOCK]]</f>
        <v>472</v>
      </c>
      <c r="E115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468</v>
      </c>
      <c r="F115" s="23"/>
      <c r="G115" s="24"/>
      <c r="H115" s="39"/>
      <c r="I115" s="40"/>
      <c r="J115" s="41"/>
      <c r="K115" s="39"/>
      <c r="L115" s="40"/>
      <c r="M115" s="41">
        <v>4</v>
      </c>
      <c r="N115" s="39"/>
      <c r="O115" s="40"/>
      <c r="P115" s="41"/>
      <c r="Q115" s="39"/>
      <c r="R115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4</v>
      </c>
    </row>
    <row r="116" spans="2:18" x14ac:dyDescent="0.2">
      <c r="B116" s="29" t="s">
        <v>226</v>
      </c>
      <c r="C116" s="30" t="s">
        <v>227</v>
      </c>
      <c r="D116" s="31">
        <f>Tabla13461321293947556371798795103111119127135143151135159167175183191159167175199207215223231239247255263271279287295303311319327335341349357365373381[[#This Row],[STOCK]]</f>
        <v>201</v>
      </c>
      <c r="E116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197</v>
      </c>
      <c r="F116" s="30"/>
      <c r="G116" s="31"/>
      <c r="H116" s="42"/>
      <c r="I116" s="43"/>
      <c r="J116" s="44"/>
      <c r="K116" s="42"/>
      <c r="L116" s="43"/>
      <c r="M116" s="44">
        <v>4</v>
      </c>
      <c r="N116" s="42"/>
      <c r="O116" s="43"/>
      <c r="P116" s="44"/>
      <c r="Q116" s="42"/>
      <c r="R116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4</v>
      </c>
    </row>
    <row r="117" spans="2:18" x14ac:dyDescent="0.2">
      <c r="B117" s="22" t="s">
        <v>228</v>
      </c>
      <c r="C117" s="23" t="s">
        <v>229</v>
      </c>
      <c r="D117" s="24">
        <f>Tabla13461321293947556371798795103111119127135143151135159167175183191159167175199207215223231239247255263271279287295303311319327335341349357365373381[[#This Row],[STOCK]]</f>
        <v>450</v>
      </c>
      <c r="E117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436</v>
      </c>
      <c r="F117" s="23"/>
      <c r="G117" s="24"/>
      <c r="H117" s="39"/>
      <c r="I117" s="40">
        <v>2</v>
      </c>
      <c r="J117" s="41"/>
      <c r="K117" s="39"/>
      <c r="L117" s="40"/>
      <c r="M117" s="41">
        <v>2</v>
      </c>
      <c r="N117" s="39"/>
      <c r="O117" s="40">
        <v>10</v>
      </c>
      <c r="P117" s="41"/>
      <c r="Q117" s="39"/>
      <c r="R117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14</v>
      </c>
    </row>
    <row r="118" spans="2:18" x14ac:dyDescent="0.2">
      <c r="B118" s="29" t="s">
        <v>230</v>
      </c>
      <c r="C118" s="30" t="s">
        <v>231</v>
      </c>
      <c r="D118" s="31">
        <f>Tabla13461321293947556371798795103111119127135143151135159167175183191159167175199207215223231239247255263271279287295303311319327335341349357365373381[[#This Row],[STOCK]]</f>
        <v>332</v>
      </c>
      <c r="E118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316</v>
      </c>
      <c r="F118" s="30"/>
      <c r="G118" s="31"/>
      <c r="H118" s="42"/>
      <c r="I118" s="43">
        <v>2</v>
      </c>
      <c r="J118" s="44"/>
      <c r="K118" s="42"/>
      <c r="L118" s="43"/>
      <c r="M118" s="44">
        <v>2</v>
      </c>
      <c r="N118" s="42"/>
      <c r="O118" s="43">
        <v>10</v>
      </c>
      <c r="P118" s="44"/>
      <c r="Q118" s="42">
        <v>2</v>
      </c>
      <c r="R118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16</v>
      </c>
    </row>
    <row r="119" spans="2:18" ht="12" customHeight="1" x14ac:dyDescent="0.2">
      <c r="B119" s="22" t="s">
        <v>232</v>
      </c>
      <c r="C119" s="23" t="s">
        <v>233</v>
      </c>
      <c r="D119" s="24">
        <f>Tabla13461321293947556371798795103111119127135143151135159167175183191159167175199207215223231239247255263271279287295303311319327335341349357365373381[[#This Row],[STOCK]]</f>
        <v>287</v>
      </c>
      <c r="E119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273</v>
      </c>
      <c r="F119" s="23"/>
      <c r="G119" s="24"/>
      <c r="H119" s="39"/>
      <c r="I119" s="40">
        <v>2</v>
      </c>
      <c r="J119" s="41"/>
      <c r="K119" s="39"/>
      <c r="L119" s="40"/>
      <c r="M119" s="41">
        <v>2</v>
      </c>
      <c r="N119" s="39"/>
      <c r="O119" s="40">
        <v>10</v>
      </c>
      <c r="P119" s="41"/>
      <c r="Q119" s="39"/>
      <c r="R119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14</v>
      </c>
    </row>
    <row r="120" spans="2:18" x14ac:dyDescent="0.2">
      <c r="B120" s="29" t="s">
        <v>234</v>
      </c>
      <c r="C120" s="30" t="s">
        <v>235</v>
      </c>
      <c r="D120" s="31">
        <f>Tabla13461321293947556371798795103111119127135143151135159167175183191159167175199207215223231239247255263271279287295303311319327335341349357365373381[[#This Row],[STOCK]]</f>
        <v>493</v>
      </c>
      <c r="E120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459</v>
      </c>
      <c r="F120" s="30"/>
      <c r="G120" s="31"/>
      <c r="H120" s="42"/>
      <c r="I120" s="43">
        <v>4</v>
      </c>
      <c r="J120" s="44"/>
      <c r="K120" s="42">
        <v>8</v>
      </c>
      <c r="L120" s="43"/>
      <c r="M120" s="44">
        <v>2</v>
      </c>
      <c r="N120" s="42"/>
      <c r="O120" s="43">
        <v>15</v>
      </c>
      <c r="P120" s="44"/>
      <c r="Q120" s="42">
        <v>5</v>
      </c>
      <c r="R120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34</v>
      </c>
    </row>
    <row r="121" spans="2:18" x14ac:dyDescent="0.2">
      <c r="B121" s="22" t="s">
        <v>236</v>
      </c>
      <c r="C121" s="23" t="s">
        <v>237</v>
      </c>
      <c r="D121" s="24">
        <f>Tabla13461321293947556371798795103111119127135143151135159167175183191159167175199207215223231239247255263271279287295303311319327335341349357365373381[[#This Row],[STOCK]]</f>
        <v>694</v>
      </c>
      <c r="E121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673</v>
      </c>
      <c r="F121" s="23"/>
      <c r="G121" s="24"/>
      <c r="H121" s="39"/>
      <c r="I121" s="40">
        <v>4</v>
      </c>
      <c r="J121" s="41">
        <v>5</v>
      </c>
      <c r="K121" s="39">
        <v>7</v>
      </c>
      <c r="L121" s="40"/>
      <c r="M121" s="41">
        <v>2</v>
      </c>
      <c r="N121" s="39"/>
      <c r="O121" s="40">
        <v>10</v>
      </c>
      <c r="P121" s="41"/>
      <c r="Q121" s="39">
        <v>3</v>
      </c>
      <c r="R121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26</v>
      </c>
    </row>
    <row r="122" spans="2:18" x14ac:dyDescent="0.2">
      <c r="B122" s="29" t="s">
        <v>238</v>
      </c>
      <c r="C122" s="30" t="s">
        <v>239</v>
      </c>
      <c r="D122" s="31">
        <f>Tabla13461321293947556371798795103111119127135143151135159167175183191159167175199207215223231239247255263271279287295303311319327335341349357365373381[[#This Row],[STOCK]]</f>
        <v>891</v>
      </c>
      <c r="E122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878</v>
      </c>
      <c r="F122" s="30"/>
      <c r="G122" s="31"/>
      <c r="H122" s="42"/>
      <c r="I122" s="43">
        <v>4</v>
      </c>
      <c r="J122" s="44">
        <v>3</v>
      </c>
      <c r="K122" s="42">
        <v>2</v>
      </c>
      <c r="L122" s="43"/>
      <c r="M122" s="44">
        <v>1</v>
      </c>
      <c r="N122" s="42">
        <v>1</v>
      </c>
      <c r="O122" s="43">
        <v>7</v>
      </c>
      <c r="P122" s="44"/>
      <c r="Q122" s="42">
        <v>3</v>
      </c>
      <c r="R122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17</v>
      </c>
    </row>
    <row r="123" spans="2:18" x14ac:dyDescent="0.2">
      <c r="B123" s="22" t="s">
        <v>240</v>
      </c>
      <c r="C123" s="23" t="s">
        <v>241</v>
      </c>
      <c r="D123" s="24">
        <f>Tabla13461321293947556371798795103111119127135143151135159167175183191159167175199207215223231239247255263271279287295303311319327335341349357365373381[[#This Row],[STOCK]]</f>
        <v>400</v>
      </c>
      <c r="E123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396</v>
      </c>
      <c r="F123" s="23"/>
      <c r="G123" s="24"/>
      <c r="H123" s="39"/>
      <c r="I123" s="40"/>
      <c r="J123" s="41"/>
      <c r="K123" s="39"/>
      <c r="L123" s="40"/>
      <c r="M123" s="41"/>
      <c r="N123" s="39"/>
      <c r="O123" s="40"/>
      <c r="P123" s="41"/>
      <c r="Q123" s="39">
        <v>4</v>
      </c>
      <c r="R123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4</v>
      </c>
    </row>
    <row r="124" spans="2:18" x14ac:dyDescent="0.2">
      <c r="B124" s="29" t="s">
        <v>242</v>
      </c>
      <c r="C124" s="30" t="s">
        <v>243</v>
      </c>
      <c r="D124" s="31">
        <f>Tabla13461321293947556371798795103111119127135143151135159167175183191159167175199207215223231239247255263271279287295303311319327335341349357365373381[[#This Row],[STOCK]]</f>
        <v>367</v>
      </c>
      <c r="E124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366</v>
      </c>
      <c r="F124" s="30"/>
      <c r="G124" s="31"/>
      <c r="H124" s="42"/>
      <c r="I124" s="43"/>
      <c r="J124" s="44"/>
      <c r="K124" s="42"/>
      <c r="L124" s="43"/>
      <c r="M124" s="44"/>
      <c r="N124" s="42"/>
      <c r="O124" s="43"/>
      <c r="P124" s="44"/>
      <c r="Q124" s="42">
        <v>1</v>
      </c>
      <c r="R124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</v>
      </c>
    </row>
    <row r="125" spans="2:18" x14ac:dyDescent="0.2">
      <c r="B125" s="22" t="s">
        <v>244</v>
      </c>
      <c r="C125" s="23" t="s">
        <v>245</v>
      </c>
      <c r="D125" s="24">
        <f>Tabla13461321293947556371798795103111119127135143151135159167175183191159167175199207215223231239247255263271279287295303311319327335341349357365373381[[#This Row],[STOCK]]</f>
        <v>548</v>
      </c>
      <c r="E125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548</v>
      </c>
      <c r="F125" s="23"/>
      <c r="G125" s="24"/>
      <c r="H125" s="39"/>
      <c r="I125" s="40"/>
      <c r="J125" s="41"/>
      <c r="K125" s="39"/>
      <c r="L125" s="40"/>
      <c r="M125" s="41"/>
      <c r="N125" s="39"/>
      <c r="O125" s="40"/>
      <c r="P125" s="41"/>
      <c r="Q125" s="39"/>
      <c r="R125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0</v>
      </c>
    </row>
    <row r="126" spans="2:18" x14ac:dyDescent="0.2">
      <c r="B126" s="29" t="s">
        <v>246</v>
      </c>
      <c r="C126" s="30" t="s">
        <v>247</v>
      </c>
      <c r="D126" s="31">
        <f>Tabla13461321293947556371798795103111119127135143151135159167175183191159167175199207215223231239247255263271279287295303311319327335341349357365373381[[#This Row],[STOCK]]</f>
        <v>432</v>
      </c>
      <c r="E126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432</v>
      </c>
      <c r="F126" s="30"/>
      <c r="G126" s="31"/>
      <c r="H126" s="42"/>
      <c r="I126" s="43"/>
      <c r="J126" s="44"/>
      <c r="K126" s="42"/>
      <c r="L126" s="43"/>
      <c r="M126" s="44"/>
      <c r="N126" s="42"/>
      <c r="O126" s="43"/>
      <c r="P126" s="44"/>
      <c r="Q126" s="42"/>
      <c r="R126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0</v>
      </c>
    </row>
    <row r="127" spans="2:18" x14ac:dyDescent="0.2">
      <c r="B127" s="22" t="s">
        <v>248</v>
      </c>
      <c r="C127" s="23" t="s">
        <v>249</v>
      </c>
      <c r="D127" s="24">
        <f>Tabla13461321293947556371798795103111119127135143151135159167175183191159167175199207215223231239247255263271279287295303311319327335341349357365373381[[#This Row],[STOCK]]</f>
        <v>375</v>
      </c>
      <c r="E127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375</v>
      </c>
      <c r="F127" s="23"/>
      <c r="G127" s="24"/>
      <c r="H127" s="39"/>
      <c r="I127" s="40"/>
      <c r="J127" s="41"/>
      <c r="K127" s="39"/>
      <c r="L127" s="40"/>
      <c r="M127" s="41"/>
      <c r="N127" s="39"/>
      <c r="O127" s="40"/>
      <c r="P127" s="41"/>
      <c r="Q127" s="39"/>
      <c r="R127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0</v>
      </c>
    </row>
    <row r="128" spans="2:18" x14ac:dyDescent="0.2">
      <c r="B128" s="29" t="s">
        <v>250</v>
      </c>
      <c r="C128" s="30" t="s">
        <v>251</v>
      </c>
      <c r="D128" s="31">
        <f>Tabla13461321293947556371798795103111119127135143151135159167175183191159167175199207215223231239247255263271279287295303311319327335341349357365373381[[#This Row],[STOCK]]</f>
        <v>512</v>
      </c>
      <c r="E128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512</v>
      </c>
      <c r="F128" s="30"/>
      <c r="G128" s="31"/>
      <c r="H128" s="42"/>
      <c r="I128" s="43"/>
      <c r="J128" s="44"/>
      <c r="K128" s="42"/>
      <c r="L128" s="43"/>
      <c r="M128" s="44"/>
      <c r="N128" s="42"/>
      <c r="O128" s="43"/>
      <c r="P128" s="44"/>
      <c r="Q128" s="42"/>
      <c r="R128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0</v>
      </c>
    </row>
    <row r="129" spans="2:18" x14ac:dyDescent="0.2">
      <c r="B129" s="22" t="s">
        <v>252</v>
      </c>
      <c r="C129" s="23" t="s">
        <v>253</v>
      </c>
      <c r="D129" s="24">
        <f>Tabla13461321293947556371798795103111119127135143151135159167175183191159167175199207215223231239247255263271279287295303311319327335341349357365373381[[#This Row],[STOCK]]</f>
        <v>439</v>
      </c>
      <c r="E129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430</v>
      </c>
      <c r="F129" s="23"/>
      <c r="G129" s="24"/>
      <c r="H129" s="39"/>
      <c r="I129" s="40"/>
      <c r="J129" s="41"/>
      <c r="K129" s="39"/>
      <c r="L129" s="40"/>
      <c r="M129" s="41">
        <v>4</v>
      </c>
      <c r="N129" s="39"/>
      <c r="O129" s="40">
        <v>5</v>
      </c>
      <c r="P129" s="41"/>
      <c r="Q129" s="39"/>
      <c r="R129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9</v>
      </c>
    </row>
    <row r="130" spans="2:18" x14ac:dyDescent="0.2">
      <c r="B130" s="29" t="s">
        <v>254</v>
      </c>
      <c r="C130" s="30" t="s">
        <v>255</v>
      </c>
      <c r="D130" s="31">
        <f>Tabla13461321293947556371798795103111119127135143151135159167175183191159167175199207215223231239247255263271279287295303311319327335341349357365373381[[#This Row],[STOCK]]</f>
        <v>255</v>
      </c>
      <c r="E130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236</v>
      </c>
      <c r="F130" s="30"/>
      <c r="G130" s="31"/>
      <c r="H130" s="42"/>
      <c r="I130" s="43"/>
      <c r="J130" s="44"/>
      <c r="K130" s="42"/>
      <c r="L130" s="43"/>
      <c r="M130" s="44">
        <v>16</v>
      </c>
      <c r="N130" s="42"/>
      <c r="O130" s="43"/>
      <c r="P130" s="44"/>
      <c r="Q130" s="42">
        <v>3</v>
      </c>
      <c r="R130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19</v>
      </c>
    </row>
    <row r="131" spans="2:18" x14ac:dyDescent="0.2">
      <c r="B131" s="22" t="s">
        <v>256</v>
      </c>
      <c r="C131" s="23" t="s">
        <v>257</v>
      </c>
      <c r="D131" s="24">
        <f>Tabla13461321293947556371798795103111119127135143151135159167175183191159167175199207215223231239247255263271279287295303311319327335341349357365373381[[#This Row],[STOCK]]</f>
        <v>506</v>
      </c>
      <c r="E131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491</v>
      </c>
      <c r="F131" s="23"/>
      <c r="G131" s="24"/>
      <c r="H131" s="39"/>
      <c r="I131" s="40"/>
      <c r="J131" s="41"/>
      <c r="K131" s="39">
        <v>2</v>
      </c>
      <c r="L131" s="40"/>
      <c r="M131" s="41">
        <v>9</v>
      </c>
      <c r="N131" s="39"/>
      <c r="O131" s="40">
        <v>2</v>
      </c>
      <c r="P131" s="41"/>
      <c r="Q131" s="39">
        <v>2</v>
      </c>
      <c r="R131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15</v>
      </c>
    </row>
    <row r="132" spans="2:18" x14ac:dyDescent="0.2">
      <c r="B132" s="29" t="s">
        <v>258</v>
      </c>
      <c r="C132" s="30" t="s">
        <v>259</v>
      </c>
      <c r="D132" s="31">
        <f>Tabla13461321293947556371798795103111119127135143151135159167175183191159167175199207215223231239247255263271279287295303311319327335341349357365373381[[#This Row],[STOCK]]</f>
        <v>206</v>
      </c>
      <c r="E132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188</v>
      </c>
      <c r="F132" s="30"/>
      <c r="G132" s="31"/>
      <c r="H132" s="42"/>
      <c r="I132" s="43"/>
      <c r="J132" s="44"/>
      <c r="K132" s="42">
        <v>2</v>
      </c>
      <c r="L132" s="43"/>
      <c r="M132" s="44">
        <v>10</v>
      </c>
      <c r="N132" s="42"/>
      <c r="O132" s="43">
        <v>3</v>
      </c>
      <c r="P132" s="44"/>
      <c r="Q132" s="42">
        <v>3</v>
      </c>
      <c r="R132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18</v>
      </c>
    </row>
    <row r="133" spans="2:18" x14ac:dyDescent="0.2">
      <c r="B133" s="22" t="s">
        <v>260</v>
      </c>
      <c r="C133" s="23" t="s">
        <v>261</v>
      </c>
      <c r="D133" s="24">
        <f>Tabla13461321293947556371798795103111119127135143151135159167175183191159167175199207215223231239247255263271279287295303311319327335341349357365373381[[#This Row],[STOCK]]</f>
        <v>184</v>
      </c>
      <c r="E133" s="25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172</v>
      </c>
      <c r="F133" s="23"/>
      <c r="G133" s="24"/>
      <c r="H133" s="39"/>
      <c r="I133" s="40"/>
      <c r="J133" s="41"/>
      <c r="K133" s="39">
        <v>2</v>
      </c>
      <c r="L133" s="40"/>
      <c r="M133" s="41">
        <v>9</v>
      </c>
      <c r="N133" s="39">
        <v>2</v>
      </c>
      <c r="O133" s="40">
        <v>3</v>
      </c>
      <c r="P133" s="41"/>
      <c r="Q133" s="39"/>
      <c r="R133" s="23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14</v>
      </c>
    </row>
    <row r="134" spans="2:18" x14ac:dyDescent="0.2">
      <c r="B134" s="29" t="s">
        <v>262</v>
      </c>
      <c r="C134" s="30" t="s">
        <v>263</v>
      </c>
      <c r="D134" s="31">
        <f>Tabla13461321293947556371798795103111119127135143151135159167175183191159167175199207215223231239247255263271279287295303311319327335341349357365373381[[#This Row],[STOCK]]</f>
        <v>336</v>
      </c>
      <c r="E134" s="32">
        <f>Tabla1346132129394755637179879510311111912713514315113515916717518319115916717519920721522323123924725526327127928729530331131932733534134935736537338113[[#This Row],[INVENTARIO INICIAL]]+Tabla1346132129394755637179879510311111912713514315113515916717518319115916717519920721522323123924725526327127928729530331131932733534134935736537338113[[#This Row],[INGRESO LUNES]]-Tabla1346132129394755637179879510311111912713514315113515916717518319115916717519920721522323123924725526327127928729530331131932733534134935736537338113[[#This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Row],[INGRESO MARTES]]-Tabla1346132129394755637179879510311111912713514315113515916717518319115916717519920721522323123924725526327127928729530331131932733534134935736537338113[[#This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Row],[INGRESO MIERCOLES]]-Tabla1346132129394755637179879510311111912713514315113515916717518319115916717519920721522323123924725526327127928729530331131932733534134935736537338113[[#This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Row],[INGRESO JUEVES]]-Tabla1346132129394755637179879510311111912713514315113515916717518319115916717519920721522323123924725526327127928729530331131932733534134935736537338113[[#This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Row],[INGRESO VIERNES]]-Tabla1346132129394755637179879510311111912713514315113515916717518319115916717519920721522323123924725526327127928729530331131932733534134935736537338113[[#This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 INGRESO SABADO]]-Tabla1346132129394755637179879510311111912713514315113515916717518319115916717519920721522323123924725526327127928729530331131932733534134935736537338113[[#This Row],[VENTA SABADO]]</f>
        <v>327</v>
      </c>
      <c r="F134" s="30"/>
      <c r="G134" s="31"/>
      <c r="H134" s="42"/>
      <c r="I134" s="43"/>
      <c r="J134" s="44"/>
      <c r="K134" s="42">
        <v>2</v>
      </c>
      <c r="L134" s="43"/>
      <c r="M134" s="44">
        <v>6</v>
      </c>
      <c r="N134" s="42">
        <v>1</v>
      </c>
      <c r="O134" s="43">
        <v>2</v>
      </c>
      <c r="P134" s="44"/>
      <c r="Q134" s="42"/>
      <c r="R134" s="30">
        <f>Tabla1346132129394755637179879510311111912713514315113515916717518319115916717519920721522323123924725526327127928729530331131932733534134935736537338113[[#This Row],[VENTA LUNES]]+Tabla1346132129394755637179879510311111912713514315113515916717518319115916717519920721522323123924725526327127928729530331131932733534134935736537338113[[#This Row],[VENTA MARTES]]+Tabla1346132129394755637179879510311111912713514315113515916717518319115916717519920721522323123924725526327127928729530331131932733534134935736537338113[[#This Row],[VENTA MIERCOLES]]+Tabla1346132129394755637179879510311111912713514315113515916717518319115916717519920721522323123924725526327127928729530331131932733534134935736537338113[[#This Row],[VENTA JUEVES]]+Tabla1346132129394755637179879510311111912713514315113515916717518319115916717519920721522323123924725526327127928729530331131932733534134935736537338113[[#This Row],[VENTA VIERNES]]+Tabla1346132129394755637179879510311111912713514315113515916717518319115916717519920721522323123924725526327127928729530331131932733534134935736537338113[[#This Row],[VENTA SABADO]]</f>
        <v>10</v>
      </c>
    </row>
    <row r="136" spans="2:18" s="54" customFormat="1" ht="38.25" x14ac:dyDescent="0.2">
      <c r="B136" s="17" t="s">
        <v>264</v>
      </c>
      <c r="C136" s="17" t="s">
        <v>5</v>
      </c>
      <c r="D136" s="17" t="s">
        <v>6</v>
      </c>
      <c r="E136" s="37" t="s">
        <v>7</v>
      </c>
      <c r="F136" s="17" t="s">
        <v>8</v>
      </c>
      <c r="G136" s="17" t="s">
        <v>51</v>
      </c>
      <c r="H136" s="17" t="s">
        <v>10</v>
      </c>
      <c r="I136" s="17" t="s">
        <v>11</v>
      </c>
      <c r="J136" s="17" t="s">
        <v>12</v>
      </c>
      <c r="K136" s="17" t="s">
        <v>13</v>
      </c>
      <c r="L136" s="17" t="s">
        <v>14</v>
      </c>
      <c r="M136" s="17" t="s">
        <v>15</v>
      </c>
      <c r="N136" s="17" t="s">
        <v>16</v>
      </c>
      <c r="O136" s="17" t="s">
        <v>17</v>
      </c>
      <c r="P136" s="17" t="s">
        <v>18</v>
      </c>
      <c r="Q136" s="17" t="s">
        <v>19</v>
      </c>
      <c r="R136" s="17" t="s">
        <v>20</v>
      </c>
    </row>
    <row r="137" spans="2:18" x14ac:dyDescent="0.2">
      <c r="B137" s="22" t="s">
        <v>216</v>
      </c>
      <c r="C137" s="23" t="s">
        <v>265</v>
      </c>
      <c r="D137" s="24">
        <f>Tabla134671422304048566472808896104112120128136144152136160168176184192160168176200208216224232240248256264272280288296304312320328336342350358366374382[[#This Row],[STOCK]]</f>
        <v>550</v>
      </c>
      <c r="E137" s="25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544</v>
      </c>
      <c r="F137" s="23"/>
      <c r="G137" s="24"/>
      <c r="H137" s="39"/>
      <c r="I137" s="40">
        <v>2</v>
      </c>
      <c r="J137" s="41"/>
      <c r="K137" s="39">
        <v>3</v>
      </c>
      <c r="L137" s="40"/>
      <c r="M137" s="41"/>
      <c r="N137" s="39"/>
      <c r="O137" s="40"/>
      <c r="P137" s="41"/>
      <c r="Q137" s="39">
        <v>1</v>
      </c>
      <c r="R137" s="23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6</v>
      </c>
    </row>
    <row r="138" spans="2:18" x14ac:dyDescent="0.2">
      <c r="B138" s="29" t="s">
        <v>218</v>
      </c>
      <c r="C138" s="30" t="s">
        <v>266</v>
      </c>
      <c r="D138" s="31">
        <f>Tabla134671422304048566472808896104112120128136144152136160168176184192160168176200208216224232240248256264272280288296304312320328336342350358366374382[[#This Row],[STOCK]]</f>
        <v>377</v>
      </c>
      <c r="E138" s="32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373</v>
      </c>
      <c r="F138" s="30"/>
      <c r="G138" s="31"/>
      <c r="H138" s="42"/>
      <c r="I138" s="43"/>
      <c r="J138" s="44"/>
      <c r="K138" s="42">
        <v>4</v>
      </c>
      <c r="L138" s="43"/>
      <c r="M138" s="44"/>
      <c r="N138" s="42"/>
      <c r="O138" s="43"/>
      <c r="P138" s="44"/>
      <c r="Q138" s="42"/>
      <c r="R138" s="30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4</v>
      </c>
    </row>
    <row r="139" spans="2:18" x14ac:dyDescent="0.2">
      <c r="B139" s="22" t="s">
        <v>267</v>
      </c>
      <c r="C139" s="23" t="s">
        <v>268</v>
      </c>
      <c r="D139" s="24">
        <f>Tabla134671422304048566472808896104112120128136144152136160168176184192160168176200208216224232240248256264272280288296304312320328336342350358366374382[[#This Row],[STOCK]]</f>
        <v>133</v>
      </c>
      <c r="E139" s="25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127</v>
      </c>
      <c r="F139" s="23"/>
      <c r="G139" s="24"/>
      <c r="H139" s="39"/>
      <c r="I139" s="40">
        <v>2</v>
      </c>
      <c r="J139" s="41"/>
      <c r="K139" s="39">
        <v>3</v>
      </c>
      <c r="L139" s="40"/>
      <c r="M139" s="41"/>
      <c r="N139" s="39"/>
      <c r="O139" s="40"/>
      <c r="P139" s="41"/>
      <c r="Q139" s="39">
        <v>1</v>
      </c>
      <c r="R139" s="23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6</v>
      </c>
    </row>
    <row r="140" spans="2:18" x14ac:dyDescent="0.2">
      <c r="B140" s="29" t="s">
        <v>269</v>
      </c>
      <c r="C140" s="30" t="s">
        <v>270</v>
      </c>
      <c r="D140" s="31">
        <f>Tabla134671422304048566472808896104112120128136144152136160168176184192160168176200208216224232240248256264272280288296304312320328336342350358366374382[[#This Row],[STOCK]]</f>
        <v>749</v>
      </c>
      <c r="E140" s="32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745</v>
      </c>
      <c r="F140" s="30"/>
      <c r="G140" s="31"/>
      <c r="H140" s="42"/>
      <c r="I140" s="43"/>
      <c r="J140" s="44"/>
      <c r="K140" s="42">
        <v>3</v>
      </c>
      <c r="L140" s="43"/>
      <c r="M140" s="44"/>
      <c r="N140" s="42"/>
      <c r="O140" s="43"/>
      <c r="P140" s="44"/>
      <c r="Q140" s="42">
        <v>1</v>
      </c>
      <c r="R140" s="30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4</v>
      </c>
    </row>
    <row r="141" spans="2:18" x14ac:dyDescent="0.2">
      <c r="B141" s="22" t="s">
        <v>224</v>
      </c>
      <c r="C141" s="23" t="s">
        <v>271</v>
      </c>
      <c r="D141" s="24">
        <f>Tabla134671422304048566472808896104112120128136144152136160168176184192160168176200208216224232240248256264272280288296304312320328336342350358366374382[[#This Row],[STOCK]]</f>
        <v>305</v>
      </c>
      <c r="E141" s="25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302</v>
      </c>
      <c r="F141" s="23"/>
      <c r="G141" s="24"/>
      <c r="H141" s="39"/>
      <c r="I141" s="40">
        <v>2</v>
      </c>
      <c r="J141" s="41"/>
      <c r="K141" s="39"/>
      <c r="L141" s="40"/>
      <c r="M141" s="41"/>
      <c r="N141" s="39"/>
      <c r="O141" s="40"/>
      <c r="P141" s="41"/>
      <c r="Q141" s="39">
        <v>1</v>
      </c>
      <c r="R141" s="23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3</v>
      </c>
    </row>
    <row r="142" spans="2:18" x14ac:dyDescent="0.2">
      <c r="B142" s="29" t="s">
        <v>272</v>
      </c>
      <c r="C142" s="30" t="s">
        <v>273</v>
      </c>
      <c r="D142" s="31">
        <f>Tabla134671422304048566472808896104112120128136144152136160168176184192160168176200208216224232240248256264272280288296304312320328336342350358366374382[[#This Row],[STOCK]]</f>
        <v>494</v>
      </c>
      <c r="E142" s="32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493</v>
      </c>
      <c r="F142" s="30"/>
      <c r="G142" s="31"/>
      <c r="H142" s="42"/>
      <c r="I142" s="43"/>
      <c r="J142" s="44"/>
      <c r="K142" s="42"/>
      <c r="L142" s="43"/>
      <c r="M142" s="44"/>
      <c r="N142" s="42"/>
      <c r="O142" s="43"/>
      <c r="P142" s="44"/>
      <c r="Q142" s="42">
        <v>1</v>
      </c>
      <c r="R142" s="30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1</v>
      </c>
    </row>
    <row r="143" spans="2:18" x14ac:dyDescent="0.2">
      <c r="B143" s="22" t="s">
        <v>204</v>
      </c>
      <c r="C143" s="23" t="s">
        <v>274</v>
      </c>
      <c r="D143" s="24">
        <f>Tabla134671422304048566472808896104112120128136144152136160168176184192160168176200208216224232240248256264272280288296304312320328336342350358366374382[[#This Row],[STOCK]]</f>
        <v>306</v>
      </c>
      <c r="E143" s="25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306</v>
      </c>
      <c r="F143" s="23"/>
      <c r="G143" s="24"/>
      <c r="H143" s="39"/>
      <c r="I143" s="40"/>
      <c r="J143" s="41"/>
      <c r="K143" s="39"/>
      <c r="L143" s="40"/>
      <c r="M143" s="41"/>
      <c r="N143" s="39"/>
      <c r="O143" s="40"/>
      <c r="P143" s="41"/>
      <c r="Q143" s="39"/>
      <c r="R143" s="23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0</v>
      </c>
    </row>
    <row r="144" spans="2:18" x14ac:dyDescent="0.2">
      <c r="B144" s="29" t="s">
        <v>206</v>
      </c>
      <c r="C144" s="30" t="s">
        <v>275</v>
      </c>
      <c r="D144" s="31">
        <f>Tabla134671422304048566472808896104112120128136144152136160168176184192160168176200208216224232240248256264272280288296304312320328336342350358366374382[[#This Row],[STOCK]]</f>
        <v>351</v>
      </c>
      <c r="E144" s="32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351</v>
      </c>
      <c r="F144" s="30"/>
      <c r="G144" s="31"/>
      <c r="H144" s="42"/>
      <c r="I144" s="43"/>
      <c r="J144" s="44"/>
      <c r="K144" s="42"/>
      <c r="L144" s="43"/>
      <c r="M144" s="44"/>
      <c r="N144" s="42"/>
      <c r="O144" s="43"/>
      <c r="P144" s="44"/>
      <c r="Q144" s="42"/>
      <c r="R144" s="30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0</v>
      </c>
    </row>
    <row r="145" spans="1:18" x14ac:dyDescent="0.2">
      <c r="B145" s="22" t="s">
        <v>276</v>
      </c>
      <c r="C145" s="23" t="s">
        <v>277</v>
      </c>
      <c r="D145" s="24">
        <f>Tabla134671422304048566472808896104112120128136144152136160168176184192160168176200208216224232240248256264272280288296304312320328336342350358366374382[[#This Row],[STOCK]]</f>
        <v>509</v>
      </c>
      <c r="E145" s="25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509</v>
      </c>
      <c r="F145" s="23"/>
      <c r="G145" s="24"/>
      <c r="H145" s="39"/>
      <c r="I145" s="40"/>
      <c r="J145" s="41"/>
      <c r="K145" s="39"/>
      <c r="L145" s="40"/>
      <c r="M145" s="41"/>
      <c r="N145" s="39"/>
      <c r="O145" s="40"/>
      <c r="P145" s="41"/>
      <c r="Q145" s="39"/>
      <c r="R145" s="23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0</v>
      </c>
    </row>
    <row r="146" spans="1:18" x14ac:dyDescent="0.2">
      <c r="B146" s="29" t="s">
        <v>278</v>
      </c>
      <c r="C146" s="30" t="s">
        <v>279</v>
      </c>
      <c r="D146" s="31">
        <f>Tabla134671422304048566472808896104112120128136144152136160168176184192160168176200208216224232240248256264272280288296304312320328336342350358366374382[[#This Row],[STOCK]]</f>
        <v>262</v>
      </c>
      <c r="E146" s="32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262</v>
      </c>
      <c r="F146" s="30"/>
      <c r="G146" s="31"/>
      <c r="H146" s="42"/>
      <c r="I146" s="43"/>
      <c r="J146" s="44"/>
      <c r="K146" s="42"/>
      <c r="L146" s="43"/>
      <c r="M146" s="44"/>
      <c r="N146" s="42"/>
      <c r="O146" s="43"/>
      <c r="P146" s="44"/>
      <c r="Q146" s="42"/>
      <c r="R146" s="30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0</v>
      </c>
    </row>
    <row r="147" spans="1:18" x14ac:dyDescent="0.2">
      <c r="B147" s="22" t="s">
        <v>280</v>
      </c>
      <c r="C147" s="23" t="s">
        <v>281</v>
      </c>
      <c r="D147" s="24">
        <f>Tabla134671422304048566472808896104112120128136144152136160168176184192160168176200208216224232240248256264272280288296304312320328336342350358366374382[[#This Row],[STOCK]]</f>
        <v>112</v>
      </c>
      <c r="E147" s="25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112</v>
      </c>
      <c r="F147" s="23"/>
      <c r="G147" s="24"/>
      <c r="H147" s="39"/>
      <c r="I147" s="40"/>
      <c r="J147" s="41"/>
      <c r="K147" s="39"/>
      <c r="L147" s="40"/>
      <c r="M147" s="41"/>
      <c r="N147" s="39"/>
      <c r="O147" s="40"/>
      <c r="P147" s="41"/>
      <c r="Q147" s="39"/>
      <c r="R147" s="23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0</v>
      </c>
    </row>
    <row r="148" spans="1:18" x14ac:dyDescent="0.2">
      <c r="B148" s="29" t="s">
        <v>214</v>
      </c>
      <c r="C148" s="30" t="s">
        <v>282</v>
      </c>
      <c r="D148" s="31">
        <f>Tabla134671422304048566472808896104112120128136144152136160168176184192160168176200208216224232240248256264272280288296304312320328336342350358366374382[[#This Row],[STOCK]]</f>
        <v>291</v>
      </c>
      <c r="E148" s="32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291</v>
      </c>
      <c r="F148" s="30"/>
      <c r="G148" s="31"/>
      <c r="H148" s="42"/>
      <c r="I148" s="43"/>
      <c r="J148" s="44"/>
      <c r="K148" s="42"/>
      <c r="L148" s="43"/>
      <c r="M148" s="44"/>
      <c r="N148" s="42"/>
      <c r="O148" s="43"/>
      <c r="P148" s="44"/>
      <c r="Q148" s="42"/>
      <c r="R148" s="30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0</v>
      </c>
    </row>
    <row r="149" spans="1:18" x14ac:dyDescent="0.2">
      <c r="B149" s="22" t="s">
        <v>283</v>
      </c>
      <c r="C149" s="23" t="s">
        <v>284</v>
      </c>
      <c r="D149" s="24">
        <f>Tabla134671422304048566472808896104112120128136144152136160168176184192160168176200208216224232240248256264272280288296304312320328336342350358366374382[[#This Row],[STOCK]]</f>
        <v>350</v>
      </c>
      <c r="E149" s="25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340</v>
      </c>
      <c r="F149" s="23"/>
      <c r="G149" s="24"/>
      <c r="H149" s="39"/>
      <c r="I149" s="40"/>
      <c r="J149" s="41"/>
      <c r="K149" s="39">
        <v>5</v>
      </c>
      <c r="L149" s="40"/>
      <c r="M149" s="41"/>
      <c r="N149" s="39"/>
      <c r="O149" s="40">
        <v>3</v>
      </c>
      <c r="P149" s="41"/>
      <c r="Q149" s="39">
        <v>2</v>
      </c>
      <c r="R149" s="23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10</v>
      </c>
    </row>
    <row r="150" spans="1:18" x14ac:dyDescent="0.2">
      <c r="A150" t="s">
        <v>285</v>
      </c>
      <c r="B150" s="29" t="s">
        <v>194</v>
      </c>
      <c r="C150" s="30" t="s">
        <v>286</v>
      </c>
      <c r="D150" s="31">
        <f>Tabla134671422304048566472808896104112120128136144152136160168176184192160168176200208216224232240248256264272280288296304312320328336342350358366374382[[#This Row],[STOCK]]</f>
        <v>480</v>
      </c>
      <c r="E150" s="32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471</v>
      </c>
      <c r="F150" s="30"/>
      <c r="G150" s="31"/>
      <c r="H150" s="42"/>
      <c r="I150" s="43"/>
      <c r="J150" s="44"/>
      <c r="K150" s="42">
        <v>4</v>
      </c>
      <c r="L150" s="43"/>
      <c r="M150" s="44"/>
      <c r="N150" s="42"/>
      <c r="O150" s="43">
        <v>3</v>
      </c>
      <c r="P150" s="44"/>
      <c r="Q150" s="42">
        <v>2</v>
      </c>
      <c r="R150" s="30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9</v>
      </c>
    </row>
    <row r="151" spans="1:18" x14ac:dyDescent="0.2">
      <c r="A151">
        <v>2</v>
      </c>
      <c r="B151" s="22" t="s">
        <v>287</v>
      </c>
      <c r="C151" s="23" t="s">
        <v>288</v>
      </c>
      <c r="D151" s="24">
        <f>Tabla134671422304048566472808896104112120128136144152136160168176184192160168176200208216224232240248256264272280288296304312320328336342350358366374382[[#This Row],[STOCK]]</f>
        <v>523</v>
      </c>
      <c r="E151" s="25">
        <f>Tabla13467142230404856647280889610411212012813614415213616016817618419216016817620020821622423224024825626427228028829630431232032833634235035836637438214[[#This Row],[INVENTARIO INICIAL]]+Tabla13467142230404856647280889610411212012813614415213616016817618419216016817620020821622423224024825626427228028829630431232032833634235035836637438214[[#This Row],[INGRESO LUNES]]-Tabla13467142230404856647280889610411212012813614415213616016817618419216016817620020821622423224024825626427228028829630431232032833634235035836637438214[[#This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Row],[INGRESO MARTES]]-Tabla13467142230404856647280889610411212012813614415213616016817618419216016817620020821622423224024825626427228028829630431232032833634235035836637438214[[#This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Row],[INGRESO MIERCOLES]]-Tabla13467142230404856647280889610411212012813614415213616016817618419216016817620020821622423224024825626427228028829630431232032833634235035836637438214[[#This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Row],[INGRESO JUEVES]]-Tabla13467142230404856647280889610411212012813614415213616016817618419216016817620020821622423224024825626427228028829630431232032833634235035836637438214[[#This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Row],[INGRESO VIERNES]]-Tabla13467142230404856647280889610411212012813614415213616016817618419216016817620020821622423224024825626427228028829630431232032833634235035836637438214[[#This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 INGRESO SABADO]]-Tabla13467142230404856647280889610411212012813614415213616016817618419216016817620020821622423224024825626427228028829630431232032833634235035836637438214[[#This Row],[VENTA SABADO]]</f>
        <v>519</v>
      </c>
      <c r="F151" s="23"/>
      <c r="G151" s="24"/>
      <c r="H151" s="39"/>
      <c r="I151" s="40"/>
      <c r="J151" s="41"/>
      <c r="K151" s="39"/>
      <c r="L151" s="40"/>
      <c r="M151" s="41"/>
      <c r="N151" s="39"/>
      <c r="O151" s="40">
        <v>2</v>
      </c>
      <c r="P151" s="41"/>
      <c r="Q151" s="39">
        <v>2</v>
      </c>
      <c r="R151" s="23">
        <f>Tabla13467142230404856647280889610411212012813614415213616016817618419216016817620020821622423224024825626427228028829630431232032833634235035836637438214[[#This Row],[VENTA LUNES]]+Tabla13467142230404856647280889610411212012813614415213616016817618419216016817620020821622423224024825626427228028829630431232032833634235035836637438214[[#This Row],[VENTA MARTES]]+Tabla13467142230404856647280889610411212012813614415213616016817618419216016817620020821622423224024825626427228028829630431232032833634235035836637438214[[#This Row],[VENTA MIERCOLES]]+Tabla13467142230404856647280889610411212012813614415213616016817618419216016817620020821622423224024825626427228028829630431232032833634235035836637438214[[#This Row],[VENTA JUEVES]]+Tabla13467142230404856647280889610411212012813614415213616016817618419216016817620020821622423224024825626427228028829630431232032833634235035836637438214[[#This Row],[VENTA VIERNES]]+Tabla13467142230404856647280889610411212012813614415213616016817618419216016817620020821622423224024825626427228028829630431232032833634235035836637438214[[#This Row],[VENTA SABADO]]</f>
        <v>4</v>
      </c>
    </row>
    <row r="153" spans="1:18" s="54" customFormat="1" ht="38.25" x14ac:dyDescent="0.2">
      <c r="B153" s="17" t="s">
        <v>289</v>
      </c>
      <c r="C153" s="17" t="s">
        <v>5</v>
      </c>
      <c r="D153" s="17" t="s">
        <v>6</v>
      </c>
      <c r="E153" s="37" t="s">
        <v>7</v>
      </c>
      <c r="F153" s="17" t="s">
        <v>8</v>
      </c>
      <c r="G153" s="17" t="s">
        <v>51</v>
      </c>
      <c r="H153" s="17" t="s">
        <v>10</v>
      </c>
      <c r="I153" s="17" t="s">
        <v>11</v>
      </c>
      <c r="J153" s="17" t="s">
        <v>12</v>
      </c>
      <c r="K153" s="17" t="s">
        <v>13</v>
      </c>
      <c r="L153" s="17" t="s">
        <v>14</v>
      </c>
      <c r="M153" s="17" t="s">
        <v>15</v>
      </c>
      <c r="N153" s="17" t="s">
        <v>16</v>
      </c>
      <c r="O153" s="17" t="s">
        <v>17</v>
      </c>
      <c r="P153" s="17" t="s">
        <v>18</v>
      </c>
      <c r="Q153" s="17" t="s">
        <v>19</v>
      </c>
      <c r="R153" s="17" t="s">
        <v>20</v>
      </c>
    </row>
    <row r="154" spans="1:18" x14ac:dyDescent="0.2">
      <c r="B154" s="22" t="s">
        <v>290</v>
      </c>
      <c r="C154" s="23" t="s">
        <v>291</v>
      </c>
      <c r="D154" s="24">
        <f>Tabla134681523314149576573818997105113121129137145153137161169177185193161169177201209217225233241249257265273281289297305313321329337343351359367375383[[#This Row],[STOCK]]</f>
        <v>775</v>
      </c>
      <c r="E154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768</v>
      </c>
      <c r="F154" s="23"/>
      <c r="G154" s="24"/>
      <c r="H154" s="39"/>
      <c r="I154" s="40"/>
      <c r="J154" s="41"/>
      <c r="K154" s="39">
        <v>7</v>
      </c>
      <c r="L154" s="40"/>
      <c r="M154" s="41"/>
      <c r="N154" s="39"/>
      <c r="O154" s="40"/>
      <c r="P154" s="41"/>
      <c r="Q154" s="39"/>
      <c r="R154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7</v>
      </c>
    </row>
    <row r="155" spans="1:18" x14ac:dyDescent="0.2">
      <c r="B155" s="29" t="s">
        <v>292</v>
      </c>
      <c r="C155" s="30" t="s">
        <v>293</v>
      </c>
      <c r="D155" s="31">
        <f>Tabla134681523314149576573818997105113121129137145153137161169177185193161169177201209217225233241249257265273281289297305313321329337343351359367375383[[#This Row],[STOCK]]</f>
        <v>511</v>
      </c>
      <c r="E155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497</v>
      </c>
      <c r="F155" s="30"/>
      <c r="G155" s="31"/>
      <c r="H155" s="42"/>
      <c r="I155" s="43"/>
      <c r="J155" s="44"/>
      <c r="K155" s="42">
        <v>14</v>
      </c>
      <c r="L155" s="43"/>
      <c r="M155" s="44"/>
      <c r="N155" s="42"/>
      <c r="O155" s="43"/>
      <c r="P155" s="44"/>
      <c r="Q155" s="42"/>
      <c r="R155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14</v>
      </c>
    </row>
    <row r="156" spans="1:18" ht="13.5" customHeight="1" x14ac:dyDescent="0.2">
      <c r="B156" s="22" t="s">
        <v>294</v>
      </c>
      <c r="C156" s="23" t="s">
        <v>295</v>
      </c>
      <c r="D156" s="24">
        <f>Tabla134681523314149576573818997105113121129137145153137161169177185193161169177201209217225233241249257265273281289297305313321329337343351359367375383[[#This Row],[STOCK]]</f>
        <v>366</v>
      </c>
      <c r="E156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347</v>
      </c>
      <c r="F156" s="23"/>
      <c r="G156" s="24"/>
      <c r="H156" s="39"/>
      <c r="I156" s="40"/>
      <c r="J156" s="41"/>
      <c r="K156" s="39">
        <v>19</v>
      </c>
      <c r="L156" s="40"/>
      <c r="M156" s="41"/>
      <c r="N156" s="39"/>
      <c r="O156" s="40"/>
      <c r="P156" s="41"/>
      <c r="Q156" s="39"/>
      <c r="R156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19</v>
      </c>
    </row>
    <row r="157" spans="1:18" x14ac:dyDescent="0.2">
      <c r="B157" s="29" t="s">
        <v>296</v>
      </c>
      <c r="C157" s="30" t="s">
        <v>297</v>
      </c>
      <c r="D157" s="31">
        <f>Tabla134681523314149576573818997105113121129137145153137161169177185193161169177201209217225233241249257265273281289297305313321329337343351359367375383[[#This Row],[STOCK]]</f>
        <v>664</v>
      </c>
      <c r="E157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652</v>
      </c>
      <c r="F157" s="30"/>
      <c r="G157" s="31"/>
      <c r="H157" s="42"/>
      <c r="I157" s="43"/>
      <c r="J157" s="44"/>
      <c r="K157" s="42">
        <v>12</v>
      </c>
      <c r="L157" s="43"/>
      <c r="M157" s="44"/>
      <c r="N157" s="42"/>
      <c r="O157" s="43"/>
      <c r="P157" s="44"/>
      <c r="Q157" s="42"/>
      <c r="R157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12</v>
      </c>
    </row>
    <row r="158" spans="1:18" x14ac:dyDescent="0.2">
      <c r="B158" s="22" t="s">
        <v>298</v>
      </c>
      <c r="C158" s="23" t="s">
        <v>299</v>
      </c>
      <c r="D158" s="24">
        <f>Tabla134681523314149576573818997105113121129137145153137161169177185193161169177201209217225233241249257265273281289297305313321329337343351359367375383[[#This Row],[STOCK]]</f>
        <v>836</v>
      </c>
      <c r="E158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836</v>
      </c>
      <c r="F158" s="23"/>
      <c r="G158" s="24"/>
      <c r="H158" s="39"/>
      <c r="I158" s="40"/>
      <c r="J158" s="41"/>
      <c r="K158" s="39"/>
      <c r="L158" s="40"/>
      <c r="M158" s="41"/>
      <c r="N158" s="39"/>
      <c r="O158" s="40"/>
      <c r="P158" s="41"/>
      <c r="Q158" s="39"/>
      <c r="R158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59" spans="1:18" x14ac:dyDescent="0.2">
      <c r="B159" s="29" t="s">
        <v>300</v>
      </c>
      <c r="C159" s="30" t="s">
        <v>301</v>
      </c>
      <c r="D159" s="31">
        <f>Tabla134681523314149576573818997105113121129137145153137161169177185193161169177201209217225233241249257265273281289297305313321329337343351359367375383[[#This Row],[STOCK]]</f>
        <v>39</v>
      </c>
      <c r="E159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37</v>
      </c>
      <c r="F159" s="30"/>
      <c r="G159" s="31"/>
      <c r="H159" s="42"/>
      <c r="I159" s="43"/>
      <c r="J159" s="44"/>
      <c r="K159" s="42">
        <v>2</v>
      </c>
      <c r="L159" s="43"/>
      <c r="M159" s="44"/>
      <c r="N159" s="42"/>
      <c r="O159" s="43"/>
      <c r="P159" s="44"/>
      <c r="Q159" s="42"/>
      <c r="R159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2</v>
      </c>
    </row>
    <row r="160" spans="1:18" x14ac:dyDescent="0.2">
      <c r="B160" s="22" t="s">
        <v>302</v>
      </c>
      <c r="C160" s="23" t="s">
        <v>303</v>
      </c>
      <c r="D160" s="24">
        <f>Tabla134681523314149576573818997105113121129137145153137161169177185193161169177201209217225233241249257265273281289297305313321329337343351359367375383[[#This Row],[STOCK]]</f>
        <v>652</v>
      </c>
      <c r="E160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647</v>
      </c>
      <c r="F160" s="23"/>
      <c r="G160" s="24"/>
      <c r="H160" s="39"/>
      <c r="I160" s="40"/>
      <c r="J160" s="41"/>
      <c r="K160" s="39">
        <v>5</v>
      </c>
      <c r="L160" s="40"/>
      <c r="M160" s="41"/>
      <c r="N160" s="39"/>
      <c r="O160" s="40"/>
      <c r="P160" s="41"/>
      <c r="Q160" s="39"/>
      <c r="R160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5</v>
      </c>
    </row>
    <row r="161" spans="2:18" x14ac:dyDescent="0.2">
      <c r="B161" s="29" t="s">
        <v>304</v>
      </c>
      <c r="C161" s="30" t="s">
        <v>305</v>
      </c>
      <c r="D161" s="31">
        <f>Tabla134681523314149576573818997105113121129137145153137161169177185193161169177201209217225233241249257265273281289297305313321329337343351359367375383[[#This Row],[STOCK]]</f>
        <v>593</v>
      </c>
      <c r="E161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583</v>
      </c>
      <c r="F161" s="30"/>
      <c r="G161" s="31"/>
      <c r="H161" s="42"/>
      <c r="I161" s="43"/>
      <c r="J161" s="44"/>
      <c r="K161" s="42">
        <v>10</v>
      </c>
      <c r="L161" s="43"/>
      <c r="M161" s="44"/>
      <c r="N161" s="42"/>
      <c r="O161" s="43"/>
      <c r="P161" s="44"/>
      <c r="Q161" s="42"/>
      <c r="R161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10</v>
      </c>
    </row>
    <row r="162" spans="2:18" x14ac:dyDescent="0.2">
      <c r="B162" s="22" t="s">
        <v>306</v>
      </c>
      <c r="C162" s="23" t="s">
        <v>307</v>
      </c>
      <c r="D162" s="24">
        <f>Tabla134681523314149576573818997105113121129137145153137161169177185193161169177201209217225233241249257265273281289297305313321329337343351359367375383[[#This Row],[STOCK]]</f>
        <v>588</v>
      </c>
      <c r="E162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575</v>
      </c>
      <c r="F162" s="23"/>
      <c r="G162" s="24"/>
      <c r="H162" s="39"/>
      <c r="I162" s="40"/>
      <c r="J162" s="41"/>
      <c r="K162" s="39">
        <v>13</v>
      </c>
      <c r="L162" s="40"/>
      <c r="M162" s="41"/>
      <c r="N162" s="39"/>
      <c r="O162" s="40"/>
      <c r="P162" s="41"/>
      <c r="Q162" s="39"/>
      <c r="R162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13</v>
      </c>
    </row>
    <row r="163" spans="2:18" x14ac:dyDescent="0.2">
      <c r="B163" s="29" t="s">
        <v>308</v>
      </c>
      <c r="C163" s="30" t="s">
        <v>309</v>
      </c>
      <c r="D163" s="31">
        <f>Tabla134681523314149576573818997105113121129137145153137161169177185193161169177201209217225233241249257265273281289297305313321329337343351359367375383[[#This Row],[STOCK]]</f>
        <v>468</v>
      </c>
      <c r="E163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468</v>
      </c>
      <c r="F163" s="30"/>
      <c r="G163" s="31"/>
      <c r="H163" s="42"/>
      <c r="I163" s="43"/>
      <c r="J163" s="44"/>
      <c r="K163" s="42"/>
      <c r="L163" s="43"/>
      <c r="M163" s="44"/>
      <c r="N163" s="42"/>
      <c r="O163" s="43"/>
      <c r="P163" s="44"/>
      <c r="Q163" s="42"/>
      <c r="R163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64" spans="2:18" x14ac:dyDescent="0.2">
      <c r="B164" s="22" t="s">
        <v>310</v>
      </c>
      <c r="C164" s="23" t="s">
        <v>311</v>
      </c>
      <c r="D164" s="24">
        <f>Tabla134681523314149576573818997105113121129137145153137161169177185193161169177201209217225233241249257265273281289297305313321329337343351359367375383[[#This Row],[STOCK]]</f>
        <v>537</v>
      </c>
      <c r="E164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537</v>
      </c>
      <c r="F164" s="23"/>
      <c r="G164" s="24"/>
      <c r="H164" s="39"/>
      <c r="I164" s="40"/>
      <c r="J164" s="41"/>
      <c r="K164" s="39"/>
      <c r="L164" s="40"/>
      <c r="M164" s="41"/>
      <c r="N164" s="39"/>
      <c r="O164" s="40"/>
      <c r="P164" s="41"/>
      <c r="Q164" s="39"/>
      <c r="R164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65" spans="2:18" x14ac:dyDescent="0.2">
      <c r="B165" s="29" t="s">
        <v>312</v>
      </c>
      <c r="C165" s="30" t="s">
        <v>313</v>
      </c>
      <c r="D165" s="31">
        <f>Tabla134681523314149576573818997105113121129137145153137161169177185193161169177201209217225233241249257265273281289297305313321329337343351359367375383[[#This Row],[STOCK]]</f>
        <v>22</v>
      </c>
      <c r="E165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20</v>
      </c>
      <c r="F165" s="30"/>
      <c r="G165" s="31"/>
      <c r="H165" s="42"/>
      <c r="I165" s="43"/>
      <c r="J165" s="44"/>
      <c r="K165" s="42"/>
      <c r="L165" s="43"/>
      <c r="M165" s="44">
        <v>2</v>
      </c>
      <c r="N165" s="42"/>
      <c r="O165" s="43"/>
      <c r="P165" s="44"/>
      <c r="Q165" s="42"/>
      <c r="R165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2</v>
      </c>
    </row>
    <row r="166" spans="2:18" x14ac:dyDescent="0.2">
      <c r="B166" s="22" t="s">
        <v>314</v>
      </c>
      <c r="C166" s="23" t="s">
        <v>315</v>
      </c>
      <c r="D166" s="24">
        <f>Tabla134681523314149576573818997105113121129137145153137161169177185193161169177201209217225233241249257265273281289297305313321329337343351359367375383[[#This Row],[STOCK]]</f>
        <v>54</v>
      </c>
      <c r="E166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54</v>
      </c>
      <c r="F166" s="23"/>
      <c r="G166" s="24"/>
      <c r="H166" s="39"/>
      <c r="I166" s="40"/>
      <c r="J166" s="41"/>
      <c r="K166" s="39"/>
      <c r="L166" s="40"/>
      <c r="M166" s="41"/>
      <c r="N166" s="39"/>
      <c r="O166" s="40"/>
      <c r="P166" s="41"/>
      <c r="Q166" s="39"/>
      <c r="R166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67" spans="2:18" x14ac:dyDescent="0.2">
      <c r="B167" s="29" t="s">
        <v>316</v>
      </c>
      <c r="C167" s="30" t="s">
        <v>317</v>
      </c>
      <c r="D167" s="31">
        <f>Tabla134681523314149576573818997105113121129137145153137161169177185193161169177201209217225233241249257265273281289297305313321329337343351359367375383[[#This Row],[STOCK]]</f>
        <v>0</v>
      </c>
      <c r="E167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0</v>
      </c>
      <c r="F167" s="30"/>
      <c r="G167" s="31"/>
      <c r="H167" s="42"/>
      <c r="I167" s="43"/>
      <c r="J167" s="44"/>
      <c r="K167" s="42"/>
      <c r="L167" s="43"/>
      <c r="M167" s="44"/>
      <c r="N167" s="42"/>
      <c r="O167" s="43"/>
      <c r="P167" s="44"/>
      <c r="Q167" s="42"/>
      <c r="R167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68" spans="2:18" x14ac:dyDescent="0.2">
      <c r="B168" s="22" t="s">
        <v>318</v>
      </c>
      <c r="C168" s="23" t="s">
        <v>319</v>
      </c>
      <c r="D168" s="24">
        <f>Tabla134681523314149576573818997105113121129137145153137161169177185193161169177201209217225233241249257265273281289297305313321329337343351359367375383[[#This Row],[STOCK]]</f>
        <v>106</v>
      </c>
      <c r="E168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106</v>
      </c>
      <c r="F168" s="23"/>
      <c r="G168" s="24"/>
      <c r="H168" s="39"/>
      <c r="I168" s="40"/>
      <c r="J168" s="41"/>
      <c r="K168" s="39"/>
      <c r="L168" s="40"/>
      <c r="M168" s="41"/>
      <c r="N168" s="39"/>
      <c r="O168" s="40"/>
      <c r="P168" s="41"/>
      <c r="Q168" s="39"/>
      <c r="R168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69" spans="2:18" ht="13.5" customHeight="1" x14ac:dyDescent="0.2">
      <c r="B169" s="29" t="s">
        <v>320</v>
      </c>
      <c r="C169" s="30" t="s">
        <v>321</v>
      </c>
      <c r="D169" s="31">
        <f>Tabla134681523314149576573818997105113121129137145153137161169177185193161169177201209217225233241249257265273281289297305313321329337343351359367375383[[#This Row],[STOCK]]</f>
        <v>107</v>
      </c>
      <c r="E169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107</v>
      </c>
      <c r="F169" s="30"/>
      <c r="G169" s="31"/>
      <c r="H169" s="42"/>
      <c r="I169" s="43"/>
      <c r="J169" s="44"/>
      <c r="K169" s="42"/>
      <c r="L169" s="43"/>
      <c r="M169" s="44"/>
      <c r="N169" s="42"/>
      <c r="O169" s="43"/>
      <c r="P169" s="44"/>
      <c r="Q169" s="42"/>
      <c r="R169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70" spans="2:18" x14ac:dyDescent="0.2">
      <c r="B170" s="22" t="s">
        <v>322</v>
      </c>
      <c r="C170" s="23" t="s">
        <v>323</v>
      </c>
      <c r="D170" s="24">
        <f>Tabla134681523314149576573818997105113121129137145153137161169177185193161169177201209217225233241249257265273281289297305313321329337343351359367375383[[#This Row],[STOCK]]</f>
        <v>106</v>
      </c>
      <c r="E170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106</v>
      </c>
      <c r="F170" s="23"/>
      <c r="G170" s="24"/>
      <c r="H170" s="39"/>
      <c r="I170" s="40"/>
      <c r="J170" s="41"/>
      <c r="K170" s="39"/>
      <c r="L170" s="40"/>
      <c r="M170" s="41"/>
      <c r="N170" s="39"/>
      <c r="O170" s="40"/>
      <c r="P170" s="41"/>
      <c r="Q170" s="39"/>
      <c r="R170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71" spans="2:18" x14ac:dyDescent="0.2">
      <c r="B171" s="29" t="s">
        <v>324</v>
      </c>
      <c r="C171" s="30" t="s">
        <v>325</v>
      </c>
      <c r="D171" s="31">
        <f>Tabla134681523314149576573818997105113121129137145153137161169177185193161169177201209217225233241249257265273281289297305313321329337343351359367375383[[#This Row],[STOCK]]</f>
        <v>113</v>
      </c>
      <c r="E171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113</v>
      </c>
      <c r="F171" s="30"/>
      <c r="G171" s="31"/>
      <c r="H171" s="42"/>
      <c r="I171" s="43"/>
      <c r="J171" s="44"/>
      <c r="K171" s="42"/>
      <c r="L171" s="43"/>
      <c r="M171" s="44"/>
      <c r="N171" s="42"/>
      <c r="O171" s="43"/>
      <c r="P171" s="44"/>
      <c r="Q171" s="42"/>
      <c r="R171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72" spans="2:18" x14ac:dyDescent="0.2">
      <c r="B172" s="22" t="s">
        <v>326</v>
      </c>
      <c r="C172" s="23" t="s">
        <v>327</v>
      </c>
      <c r="D172" s="24">
        <f>Tabla134681523314149576573818997105113121129137145153137161169177185193161169177201209217225233241249257265273281289297305313321329337343351359367375383[[#This Row],[STOCK]]</f>
        <v>109</v>
      </c>
      <c r="E172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109</v>
      </c>
      <c r="F172" s="23"/>
      <c r="G172" s="24"/>
      <c r="H172" s="39"/>
      <c r="I172" s="40"/>
      <c r="J172" s="41"/>
      <c r="K172" s="39"/>
      <c r="L172" s="40"/>
      <c r="M172" s="41"/>
      <c r="N172" s="39"/>
      <c r="O172" s="40"/>
      <c r="P172" s="41"/>
      <c r="Q172" s="39"/>
      <c r="R172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73" spans="2:18" x14ac:dyDescent="0.2">
      <c r="B173" s="29" t="s">
        <v>328</v>
      </c>
      <c r="C173" s="30" t="s">
        <v>329</v>
      </c>
      <c r="D173" s="31">
        <f>Tabla134681523314149576573818997105113121129137145153137161169177185193161169177201209217225233241249257265273281289297305313321329337343351359367375383[[#This Row],[STOCK]]</f>
        <v>112</v>
      </c>
      <c r="E173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112</v>
      </c>
      <c r="F173" s="30"/>
      <c r="G173" s="31"/>
      <c r="H173" s="42"/>
      <c r="I173" s="43"/>
      <c r="J173" s="44"/>
      <c r="K173" s="42"/>
      <c r="L173" s="43"/>
      <c r="M173" s="44"/>
      <c r="N173" s="42"/>
      <c r="O173" s="43"/>
      <c r="P173" s="44"/>
      <c r="Q173" s="42"/>
      <c r="R173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74" spans="2:18" x14ac:dyDescent="0.2">
      <c r="B174" s="22" t="s">
        <v>330</v>
      </c>
      <c r="C174" s="23" t="s">
        <v>331</v>
      </c>
      <c r="D174" s="24">
        <f>Tabla134681523314149576573818997105113121129137145153137161169177185193161169177201209217225233241249257265273281289297305313321329337343351359367375383[[#This Row],[STOCK]]</f>
        <v>76</v>
      </c>
      <c r="E174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76</v>
      </c>
      <c r="F174" s="23"/>
      <c r="G174" s="24"/>
      <c r="H174" s="39"/>
      <c r="I174" s="40"/>
      <c r="J174" s="41"/>
      <c r="K174" s="39"/>
      <c r="L174" s="40"/>
      <c r="M174" s="41"/>
      <c r="N174" s="39"/>
      <c r="O174" s="40"/>
      <c r="P174" s="41"/>
      <c r="Q174" s="39"/>
      <c r="R174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75" spans="2:18" x14ac:dyDescent="0.2">
      <c r="B175" s="29" t="s">
        <v>332</v>
      </c>
      <c r="C175" s="30" t="s">
        <v>333</v>
      </c>
      <c r="D175" s="31">
        <f>Tabla134681523314149576573818997105113121129137145153137161169177185193161169177201209217225233241249257265273281289297305313321329337343351359367375383[[#This Row],[STOCK]]</f>
        <v>147</v>
      </c>
      <c r="E175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147</v>
      </c>
      <c r="F175" s="30"/>
      <c r="G175" s="31"/>
      <c r="H175" s="42"/>
      <c r="I175" s="43"/>
      <c r="J175" s="44"/>
      <c r="K175" s="42"/>
      <c r="L175" s="43"/>
      <c r="M175" s="44"/>
      <c r="N175" s="42"/>
      <c r="O175" s="43"/>
      <c r="P175" s="44"/>
      <c r="Q175" s="42"/>
      <c r="R175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76" spans="2:18" x14ac:dyDescent="0.2">
      <c r="B176" s="22" t="s">
        <v>334</v>
      </c>
      <c r="C176" s="23" t="s">
        <v>335</v>
      </c>
      <c r="D176" s="24">
        <f>Tabla134681523314149576573818997105113121129137145153137161169177185193161169177201209217225233241249257265273281289297305313321329337343351359367375383[[#This Row],[STOCK]]</f>
        <v>104</v>
      </c>
      <c r="E176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104</v>
      </c>
      <c r="F176" s="23"/>
      <c r="G176" s="24"/>
      <c r="H176" s="39"/>
      <c r="I176" s="40"/>
      <c r="J176" s="41"/>
      <c r="K176" s="39"/>
      <c r="L176" s="40"/>
      <c r="M176" s="41"/>
      <c r="N176" s="39"/>
      <c r="O176" s="40"/>
      <c r="P176" s="41"/>
      <c r="Q176" s="39"/>
      <c r="R176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77" spans="2:18" x14ac:dyDescent="0.2">
      <c r="B177" s="29" t="s">
        <v>336</v>
      </c>
      <c r="C177" s="30" t="s">
        <v>337</v>
      </c>
      <c r="D177" s="31">
        <f>Tabla134681523314149576573818997105113121129137145153137161169177185193161169177201209217225233241249257265273281289297305313321329337343351359367375383[[#This Row],[STOCK]]</f>
        <v>68</v>
      </c>
      <c r="E177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68</v>
      </c>
      <c r="F177" s="30"/>
      <c r="G177" s="31"/>
      <c r="H177" s="42"/>
      <c r="I177" s="43"/>
      <c r="J177" s="44"/>
      <c r="K177" s="42"/>
      <c r="L177" s="43"/>
      <c r="M177" s="44"/>
      <c r="N177" s="42"/>
      <c r="O177" s="43"/>
      <c r="P177" s="44"/>
      <c r="Q177" s="42"/>
      <c r="R177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78" spans="2:18" x14ac:dyDescent="0.2">
      <c r="B178" s="22" t="s">
        <v>338</v>
      </c>
      <c r="C178" s="23" t="s">
        <v>339</v>
      </c>
      <c r="D178" s="24">
        <f>Tabla134681523314149576573818997105113121129137145153137161169177185193161169177201209217225233241249257265273281289297305313321329337343351359367375383[[#This Row],[STOCK]]</f>
        <v>0</v>
      </c>
      <c r="E178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0</v>
      </c>
      <c r="F178" s="23"/>
      <c r="G178" s="24"/>
      <c r="H178" s="39"/>
      <c r="I178" s="40"/>
      <c r="J178" s="41"/>
      <c r="K178" s="39"/>
      <c r="L178" s="40"/>
      <c r="M178" s="41"/>
      <c r="N178" s="39"/>
      <c r="O178" s="40"/>
      <c r="P178" s="41"/>
      <c r="Q178" s="39"/>
      <c r="R178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79" spans="2:18" x14ac:dyDescent="0.2">
      <c r="B179" s="29" t="s">
        <v>340</v>
      </c>
      <c r="C179" s="30" t="s">
        <v>341</v>
      </c>
      <c r="D179" s="31">
        <f>Tabla134681523314149576573818997105113121129137145153137161169177185193161169177201209217225233241249257265273281289297305313321329337343351359367375383[[#This Row],[STOCK]]</f>
        <v>47</v>
      </c>
      <c r="E179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47</v>
      </c>
      <c r="F179" s="30"/>
      <c r="G179" s="31"/>
      <c r="H179" s="42"/>
      <c r="I179" s="43"/>
      <c r="J179" s="44"/>
      <c r="K179" s="42"/>
      <c r="L179" s="43"/>
      <c r="M179" s="44"/>
      <c r="N179" s="42"/>
      <c r="O179" s="43"/>
      <c r="P179" s="44"/>
      <c r="Q179" s="42"/>
      <c r="R179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80" spans="2:18" x14ac:dyDescent="0.2">
      <c r="B180" s="22" t="s">
        <v>342</v>
      </c>
      <c r="C180" s="23" t="s">
        <v>343</v>
      </c>
      <c r="D180" s="24">
        <f>Tabla134681523314149576573818997105113121129137145153137161169177185193161169177201209217225233241249257265273281289297305313321329337343351359367375383[[#This Row],[STOCK]]</f>
        <v>29</v>
      </c>
      <c r="E180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29</v>
      </c>
      <c r="F180" s="23"/>
      <c r="G180" s="24"/>
      <c r="H180" s="39"/>
      <c r="I180" s="40"/>
      <c r="J180" s="41"/>
      <c r="K180" s="39"/>
      <c r="L180" s="40"/>
      <c r="M180" s="41"/>
      <c r="N180" s="39"/>
      <c r="O180" s="40"/>
      <c r="P180" s="41"/>
      <c r="Q180" s="39"/>
      <c r="R180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81" spans="2:18" x14ac:dyDescent="0.2">
      <c r="B181" s="29" t="s">
        <v>344</v>
      </c>
      <c r="C181" s="30" t="s">
        <v>345</v>
      </c>
      <c r="D181" s="31">
        <f>Tabla134681523314149576573818997105113121129137145153137161169177185193161169177201209217225233241249257265273281289297305313321329337343351359367375383[[#This Row],[STOCK]]</f>
        <v>195</v>
      </c>
      <c r="E181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195</v>
      </c>
      <c r="F181" s="30"/>
      <c r="G181" s="31"/>
      <c r="H181" s="42"/>
      <c r="I181" s="43"/>
      <c r="J181" s="44"/>
      <c r="K181" s="42"/>
      <c r="L181" s="43"/>
      <c r="M181" s="44"/>
      <c r="N181" s="42"/>
      <c r="O181" s="43"/>
      <c r="P181" s="44"/>
      <c r="Q181" s="42"/>
      <c r="R181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82" spans="2:18" x14ac:dyDescent="0.2">
      <c r="B182" s="22" t="s">
        <v>346</v>
      </c>
      <c r="C182" s="23" t="s">
        <v>347</v>
      </c>
      <c r="D182" s="24">
        <f>Tabla134681523314149576573818997105113121129137145153137161169177185193161169177201209217225233241249257265273281289297305313321329337343351359367375383[[#This Row],[STOCK]]</f>
        <v>0</v>
      </c>
      <c r="E182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0</v>
      </c>
      <c r="F182" s="23"/>
      <c r="G182" s="24"/>
      <c r="H182" s="39"/>
      <c r="I182" s="40"/>
      <c r="J182" s="41"/>
      <c r="K182" s="39"/>
      <c r="L182" s="40"/>
      <c r="M182" s="41"/>
      <c r="N182" s="39"/>
      <c r="O182" s="40"/>
      <c r="P182" s="41"/>
      <c r="Q182" s="39"/>
      <c r="R182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83" spans="2:18" x14ac:dyDescent="0.2">
      <c r="B183" s="29" t="s">
        <v>348</v>
      </c>
      <c r="C183" s="30" t="s">
        <v>349</v>
      </c>
      <c r="D183" s="31">
        <f>Tabla134681523314149576573818997105113121129137145153137161169177185193161169177201209217225233241249257265273281289297305313321329337343351359367375383[[#This Row],[STOCK]]</f>
        <v>29</v>
      </c>
      <c r="E183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29</v>
      </c>
      <c r="F183" s="30"/>
      <c r="G183" s="31"/>
      <c r="H183" s="42"/>
      <c r="I183" s="43"/>
      <c r="J183" s="44"/>
      <c r="K183" s="42"/>
      <c r="L183" s="43"/>
      <c r="M183" s="44"/>
      <c r="N183" s="42"/>
      <c r="O183" s="43"/>
      <c r="P183" s="44"/>
      <c r="Q183" s="42"/>
      <c r="R183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84" spans="2:18" x14ac:dyDescent="0.2">
      <c r="B184" s="22" t="s">
        <v>350</v>
      </c>
      <c r="C184" s="23" t="s">
        <v>351</v>
      </c>
      <c r="D184" s="24">
        <f>Tabla134681523314149576573818997105113121129137145153137161169177185193161169177201209217225233241249257265273281289297305313321329337343351359367375383[[#This Row],[STOCK]]</f>
        <v>33</v>
      </c>
      <c r="E184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33</v>
      </c>
      <c r="F184" s="23"/>
      <c r="G184" s="24"/>
      <c r="H184" s="39"/>
      <c r="I184" s="40"/>
      <c r="J184" s="41"/>
      <c r="K184" s="39"/>
      <c r="L184" s="40"/>
      <c r="M184" s="41"/>
      <c r="N184" s="39"/>
      <c r="O184" s="40"/>
      <c r="P184" s="41"/>
      <c r="Q184" s="39"/>
      <c r="R184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85" spans="2:18" x14ac:dyDescent="0.2">
      <c r="B185" s="29" t="s">
        <v>352</v>
      </c>
      <c r="C185" s="30" t="s">
        <v>353</v>
      </c>
      <c r="D185" s="31">
        <f>Tabla134681523314149576573818997105113121129137145153137161169177185193161169177201209217225233241249257265273281289297305313321329337343351359367375383[[#This Row],[STOCK]]</f>
        <v>0</v>
      </c>
      <c r="E185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0</v>
      </c>
      <c r="F185" s="30"/>
      <c r="G185" s="31"/>
      <c r="H185" s="42"/>
      <c r="I185" s="43"/>
      <c r="J185" s="44"/>
      <c r="K185" s="42"/>
      <c r="L185" s="43"/>
      <c r="M185" s="44"/>
      <c r="N185" s="42"/>
      <c r="O185" s="43"/>
      <c r="P185" s="44"/>
      <c r="Q185" s="42"/>
      <c r="R185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86" spans="2:18" x14ac:dyDescent="0.2">
      <c r="B186" s="22" t="s">
        <v>354</v>
      </c>
      <c r="C186" s="23" t="s">
        <v>355</v>
      </c>
      <c r="D186" s="24">
        <f>Tabla134681523314149576573818997105113121129137145153137161169177185193161169177201209217225233241249257265273281289297305313321329337343351359367375383[[#This Row],[STOCK]]</f>
        <v>13</v>
      </c>
      <c r="E186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13</v>
      </c>
      <c r="F186" s="23"/>
      <c r="G186" s="24"/>
      <c r="H186" s="39"/>
      <c r="I186" s="40"/>
      <c r="J186" s="41"/>
      <c r="K186" s="39"/>
      <c r="L186" s="40"/>
      <c r="M186" s="41"/>
      <c r="N186" s="39"/>
      <c r="O186" s="40"/>
      <c r="P186" s="41"/>
      <c r="Q186" s="39"/>
      <c r="R186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87" spans="2:18" x14ac:dyDescent="0.2">
      <c r="B187" s="29" t="s">
        <v>356</v>
      </c>
      <c r="C187" s="30" t="s">
        <v>357</v>
      </c>
      <c r="D187" s="31">
        <f>Tabla134681523314149576573818997105113121129137145153137161169177185193161169177201209217225233241249257265273281289297305313321329337343351359367375383[[#This Row],[STOCK]]</f>
        <v>9</v>
      </c>
      <c r="E187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9</v>
      </c>
      <c r="F187" s="30"/>
      <c r="G187" s="31"/>
      <c r="H187" s="42"/>
      <c r="I187" s="43"/>
      <c r="J187" s="44"/>
      <c r="K187" s="42"/>
      <c r="L187" s="43"/>
      <c r="M187" s="44"/>
      <c r="N187" s="42"/>
      <c r="O187" s="43"/>
      <c r="P187" s="44"/>
      <c r="Q187" s="42"/>
      <c r="R187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88" spans="2:18" x14ac:dyDescent="0.2">
      <c r="B188" s="22" t="s">
        <v>358</v>
      </c>
      <c r="C188" s="23" t="s">
        <v>359</v>
      </c>
      <c r="D188" s="24">
        <f>Tabla134681523314149576573818997105113121129137145153137161169177185193161169177201209217225233241249257265273281289297305313321329337343351359367375383[[#This Row],[STOCK]]</f>
        <v>0</v>
      </c>
      <c r="E188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0</v>
      </c>
      <c r="F188" s="23"/>
      <c r="G188" s="24"/>
      <c r="H188" s="39"/>
      <c r="I188" s="40"/>
      <c r="J188" s="41"/>
      <c r="K188" s="39"/>
      <c r="L188" s="40"/>
      <c r="M188" s="41"/>
      <c r="N188" s="39"/>
      <c r="O188" s="40"/>
      <c r="P188" s="41"/>
      <c r="Q188" s="39"/>
      <c r="R188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89" spans="2:18" x14ac:dyDescent="0.2">
      <c r="B189" s="29" t="s">
        <v>360</v>
      </c>
      <c r="C189" s="30" t="s">
        <v>361</v>
      </c>
      <c r="D189" s="31">
        <f>Tabla134681523314149576573818997105113121129137145153137161169177185193161169177201209217225233241249257265273281289297305313321329337343351359367375383[[#This Row],[STOCK]]</f>
        <v>81</v>
      </c>
      <c r="E189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81</v>
      </c>
      <c r="F189" s="30"/>
      <c r="G189" s="31"/>
      <c r="H189" s="42"/>
      <c r="I189" s="43"/>
      <c r="J189" s="44"/>
      <c r="K189" s="42"/>
      <c r="L189" s="43"/>
      <c r="M189" s="44"/>
      <c r="N189" s="42"/>
      <c r="O189" s="43"/>
      <c r="P189" s="44"/>
      <c r="Q189" s="42"/>
      <c r="R189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90" spans="2:18" x14ac:dyDescent="0.2">
      <c r="B190" s="22" t="s">
        <v>362</v>
      </c>
      <c r="C190" s="23" t="s">
        <v>363</v>
      </c>
      <c r="D190" s="24">
        <f>Tabla134681523314149576573818997105113121129137145153137161169177185193161169177201209217225233241249257265273281289297305313321329337343351359367375383[[#This Row],[STOCK]]</f>
        <v>0</v>
      </c>
      <c r="E190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0</v>
      </c>
      <c r="F190" s="23"/>
      <c r="G190" s="24"/>
      <c r="H190" s="39"/>
      <c r="I190" s="40"/>
      <c r="J190" s="41"/>
      <c r="K190" s="39"/>
      <c r="L190" s="40"/>
      <c r="M190" s="41"/>
      <c r="N190" s="39"/>
      <c r="O190" s="40"/>
      <c r="P190" s="41"/>
      <c r="Q190" s="39"/>
      <c r="R190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91" spans="2:18" x14ac:dyDescent="0.2">
      <c r="B191" s="29" t="s">
        <v>364</v>
      </c>
      <c r="C191" s="30" t="s">
        <v>365</v>
      </c>
      <c r="D191" s="31">
        <f>Tabla134681523314149576573818997105113121129137145153137161169177185193161169177201209217225233241249257265273281289297305313321329337343351359367375383[[#This Row],[STOCK]]</f>
        <v>0</v>
      </c>
      <c r="E191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0</v>
      </c>
      <c r="F191" s="30"/>
      <c r="G191" s="31"/>
      <c r="H191" s="42"/>
      <c r="I191" s="43"/>
      <c r="J191" s="44"/>
      <c r="K191" s="42"/>
      <c r="L191" s="43"/>
      <c r="M191" s="44"/>
      <c r="N191" s="42"/>
      <c r="O191" s="43"/>
      <c r="P191" s="44"/>
      <c r="Q191" s="42"/>
      <c r="R191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92" spans="2:18" x14ac:dyDescent="0.2">
      <c r="B192" s="22" t="s">
        <v>366</v>
      </c>
      <c r="C192" s="23" t="s">
        <v>367</v>
      </c>
      <c r="D192" s="24">
        <f>Tabla134681523314149576573818997105113121129137145153137161169177185193161169177201209217225233241249257265273281289297305313321329337343351359367375383[[#This Row],[STOCK]]</f>
        <v>0</v>
      </c>
      <c r="E192" s="25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0</v>
      </c>
      <c r="F192" s="23"/>
      <c r="G192" s="24"/>
      <c r="H192" s="39"/>
      <c r="I192" s="40"/>
      <c r="J192" s="41"/>
      <c r="K192" s="39"/>
      <c r="L192" s="40"/>
      <c r="M192" s="41"/>
      <c r="N192" s="39"/>
      <c r="O192" s="40"/>
      <c r="P192" s="41"/>
      <c r="Q192" s="39"/>
      <c r="R192" s="23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93" spans="2:18" x14ac:dyDescent="0.2">
      <c r="B193" s="29" t="s">
        <v>368</v>
      </c>
      <c r="C193" s="30" t="s">
        <v>369</v>
      </c>
      <c r="D193" s="31">
        <f>Tabla134681523314149576573818997105113121129137145153137161169177185193161169177201209217225233241249257265273281289297305313321329337343351359367375383[[#This Row],[STOCK]]</f>
        <v>0</v>
      </c>
      <c r="E193" s="32">
        <f>Tabla13468152331414957657381899710511312112913714515313716116917718519316116917720120921722523324124925726527328128929730531332132933734335135936737538315[[#This Row],[INVENTARIO INICIAL]]+Tabla13468152331414957657381899710511312112913714515313716116917718519316116917720120921722523324124925726527328128929730531332132933734335135936737538315[[#This Row],[INGRESO LUNES]]-Tabla13468152331414957657381899710511312112913714515313716116917718519316116917720120921722523324124925726527328128929730531332132933734335135936737538315[[#This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Row],[INGRESO MARTES]]-Tabla13468152331414957657381899710511312112913714515313716116917718519316116917720120921722523324124925726527328128929730531332132933734335135936737538315[[#This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Row],[INGRESO MIERCOLES]]-Tabla13468152331414957657381899710511312112913714515313716116917718519316116917720120921722523324124925726527328128929730531332132933734335135936737538315[[#This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Row],[INGRESO JUEVES]]-Tabla13468152331414957657381899710511312112913714515313716116917718519316116917720120921722523324124925726527328128929730531332132933734335135936737538315[[#This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Row],[INGRESO VIERNES]]-Tabla13468152331414957657381899710511312112913714515313716116917718519316116917720120921722523324124925726527328128929730531332132933734335135936737538315[[#This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 INGRESO SABADO]]-Tabla13468152331414957657381899710511312112913714515313716116917718519316116917720120921722523324124925726527328128929730531332132933734335135936737538315[[#This Row],[VENTA SABADO]]</f>
        <v>0</v>
      </c>
      <c r="F193" s="30"/>
      <c r="G193" s="31"/>
      <c r="H193" s="42"/>
      <c r="I193" s="43"/>
      <c r="J193" s="44"/>
      <c r="K193" s="42"/>
      <c r="L193" s="43"/>
      <c r="M193" s="44"/>
      <c r="N193" s="42"/>
      <c r="O193" s="43"/>
      <c r="P193" s="44"/>
      <c r="Q193" s="42"/>
      <c r="R193" s="30">
        <f>Tabla13468152331414957657381899710511312112913714515313716116917718519316116917720120921722523324124925726527328128929730531332132933734335135936737538315[[#This Row],[VENTA LUNES]]+Tabla13468152331414957657381899710511312112913714515313716116917718519316116917720120921722523324124925726527328128929730531332132933734335135936737538315[[#This Row],[VENTA MARTES]]+Tabla13468152331414957657381899710511312112913714515313716116917718519316116917720120921722523324124925726527328128929730531332132933734335135936737538315[[#This Row],[VENTA MIERCOLES]]+Tabla13468152331414957657381899710511312112913714515313716116917718519316116917720120921722523324124925726527328128929730531332132933734335135936737538315[[#This Row],[VENTA JUEVES]]+Tabla13468152331414957657381899710511312112913714515313716116917718519316116917720120921722523324124925726527328128929730531332132933734335135936737538315[[#This Row],[VENTA VIERNES]]+Tabla13468152331414957657381899710511312112913714515313716116917718519316116917720120921722523324124925726527328128929730531332132933734335135936737538315[[#This Row],[VENTA SABADO]]</f>
        <v>0</v>
      </c>
    </row>
    <row r="195" spans="2:18" s="54" customFormat="1" ht="38.25" x14ac:dyDescent="0.2">
      <c r="B195" s="17" t="s">
        <v>370</v>
      </c>
      <c r="C195" s="17" t="s">
        <v>5</v>
      </c>
      <c r="D195" s="17" t="s">
        <v>6</v>
      </c>
      <c r="E195" s="17" t="s">
        <v>7</v>
      </c>
      <c r="F195" s="17" t="s">
        <v>8</v>
      </c>
      <c r="G195" s="17" t="s">
        <v>51</v>
      </c>
      <c r="H195" s="17" t="s">
        <v>10</v>
      </c>
      <c r="I195" s="17" t="s">
        <v>11</v>
      </c>
      <c r="J195" s="17" t="s">
        <v>12</v>
      </c>
      <c r="K195" s="17" t="s">
        <v>13</v>
      </c>
      <c r="L195" s="17" t="s">
        <v>14</v>
      </c>
      <c r="M195" s="17" t="s">
        <v>15</v>
      </c>
      <c r="N195" s="17" t="s">
        <v>16</v>
      </c>
      <c r="O195" s="17" t="s">
        <v>371</v>
      </c>
      <c r="P195" s="17" t="s">
        <v>372</v>
      </c>
      <c r="Q195" s="17" t="s">
        <v>373</v>
      </c>
      <c r="R195" s="17" t="s">
        <v>20</v>
      </c>
    </row>
    <row r="196" spans="2:18" x14ac:dyDescent="0.2">
      <c r="B196" s="22" t="s">
        <v>374</v>
      </c>
      <c r="C196" s="23" t="s">
        <v>375</v>
      </c>
      <c r="D196" s="24">
        <f>Tabla1346891624324250586674829098106114122130138146154138162170178186194162170178202210218226234242250258266274282290298306314322330338344352360368376384[[#This Row],[STOCK]]</f>
        <v>0</v>
      </c>
      <c r="E196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196" s="23"/>
      <c r="G196" s="24"/>
      <c r="H196" s="39"/>
      <c r="I196" s="40"/>
      <c r="J196" s="41"/>
      <c r="K196" s="39"/>
      <c r="L196" s="40"/>
      <c r="M196" s="41"/>
      <c r="N196" s="39"/>
      <c r="O196" s="40"/>
      <c r="P196" s="41"/>
      <c r="Q196" s="39"/>
      <c r="R196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197" spans="2:18" x14ac:dyDescent="0.2">
      <c r="B197" s="29" t="s">
        <v>376</v>
      </c>
      <c r="C197" s="30" t="s">
        <v>377</v>
      </c>
      <c r="D197" s="31">
        <f>Tabla1346891624324250586674829098106114122130138146154138162170178186194162170178202210218226234242250258266274282290298306314322330338344352360368376384[[#This Row],[STOCK]]</f>
        <v>59</v>
      </c>
      <c r="E197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59</v>
      </c>
      <c r="F197" s="30"/>
      <c r="G197" s="31"/>
      <c r="H197" s="42"/>
      <c r="I197" s="43"/>
      <c r="J197" s="44"/>
      <c r="K197" s="42"/>
      <c r="L197" s="43"/>
      <c r="M197" s="44"/>
      <c r="N197" s="42"/>
      <c r="O197" s="43"/>
      <c r="P197" s="44"/>
      <c r="Q197" s="42"/>
      <c r="R197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198" spans="2:18" x14ac:dyDescent="0.2">
      <c r="B198" s="22" t="s">
        <v>378</v>
      </c>
      <c r="C198" s="23" t="s">
        <v>379</v>
      </c>
      <c r="D198" s="24">
        <f>Tabla1346891624324250586674829098106114122130138146154138162170178186194162170178202210218226234242250258266274282290298306314322330338344352360368376384[[#This Row],[STOCK]]</f>
        <v>34</v>
      </c>
      <c r="E198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1</v>
      </c>
      <c r="F198" s="23"/>
      <c r="G198" s="24"/>
      <c r="H198" s="39"/>
      <c r="I198" s="40">
        <v>10</v>
      </c>
      <c r="J198" s="41"/>
      <c r="K198" s="39">
        <v>21</v>
      </c>
      <c r="L198" s="40"/>
      <c r="M198" s="41">
        <v>3</v>
      </c>
      <c r="N198" s="39">
        <v>1</v>
      </c>
      <c r="O198" s="40"/>
      <c r="P198" s="41"/>
      <c r="Q198" s="39"/>
      <c r="R198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34</v>
      </c>
    </row>
    <row r="199" spans="2:18" x14ac:dyDescent="0.2">
      <c r="B199" s="29" t="s">
        <v>380</v>
      </c>
      <c r="C199" s="30" t="s">
        <v>381</v>
      </c>
      <c r="D199" s="31">
        <f>Tabla1346891624324250586674829098106114122130138146154138162170178186194162170178202210218226234242250258266274282290298306314322330338344352360368376384[[#This Row],[STOCK]]</f>
        <v>90</v>
      </c>
      <c r="E199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128</v>
      </c>
      <c r="F199" s="30"/>
      <c r="G199" s="31"/>
      <c r="H199" s="42"/>
      <c r="I199" s="43"/>
      <c r="J199" s="44"/>
      <c r="K199" s="42">
        <v>30</v>
      </c>
      <c r="L199" s="43"/>
      <c r="M199" s="44"/>
      <c r="N199" s="42"/>
      <c r="O199" s="43">
        <v>3</v>
      </c>
      <c r="P199" s="44">
        <v>72</v>
      </c>
      <c r="Q199" s="42">
        <v>1</v>
      </c>
      <c r="R199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34</v>
      </c>
    </row>
    <row r="200" spans="2:18" x14ac:dyDescent="0.2">
      <c r="B200" s="22" t="s">
        <v>382</v>
      </c>
      <c r="C200" s="23" t="s">
        <v>383</v>
      </c>
      <c r="D200" s="24">
        <f>Tabla1346891624324250586674829098106114122130138146154138162170178186194162170178202210218226234242250258266274282290298306314322330338344352360368376384[[#This Row],[STOCK]]</f>
        <v>51</v>
      </c>
      <c r="E200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49</v>
      </c>
      <c r="F200" s="23"/>
      <c r="G200" s="24"/>
      <c r="H200" s="39"/>
      <c r="I200" s="40"/>
      <c r="J200" s="41"/>
      <c r="K200" s="39"/>
      <c r="L200" s="40"/>
      <c r="M200" s="41"/>
      <c r="N200" s="39"/>
      <c r="O200" s="40">
        <v>2</v>
      </c>
      <c r="P200" s="41"/>
      <c r="Q200" s="39"/>
      <c r="R200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2</v>
      </c>
    </row>
    <row r="201" spans="2:18" x14ac:dyDescent="0.2">
      <c r="B201" s="29" t="s">
        <v>384</v>
      </c>
      <c r="C201" s="30" t="s">
        <v>385</v>
      </c>
      <c r="D201" s="31">
        <f>Tabla1346891624324250586674829098106114122130138146154138162170178186194162170178202210218226234242250258266274282290298306314322330338344352360368376384[[#This Row],[STOCK]]</f>
        <v>108</v>
      </c>
      <c r="E201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65</v>
      </c>
      <c r="F201" s="30"/>
      <c r="G201" s="31"/>
      <c r="H201" s="42"/>
      <c r="I201" s="43"/>
      <c r="J201" s="44"/>
      <c r="K201" s="42">
        <v>4</v>
      </c>
      <c r="L201" s="43"/>
      <c r="M201" s="44">
        <v>3</v>
      </c>
      <c r="N201" s="42"/>
      <c r="O201" s="43">
        <v>10</v>
      </c>
      <c r="P201" s="44"/>
      <c r="Q201" s="42">
        <v>26</v>
      </c>
      <c r="R201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43</v>
      </c>
    </row>
    <row r="202" spans="2:18" x14ac:dyDescent="0.2">
      <c r="B202" s="22" t="s">
        <v>386</v>
      </c>
      <c r="C202" s="23" t="s">
        <v>387</v>
      </c>
      <c r="D202" s="24">
        <f>Tabla1346891624324250586674829098106114122130138146154138162170178186194162170178202210218226234242250258266274282290298306314322330338344352360368376384[[#This Row],[STOCK]]</f>
        <v>242</v>
      </c>
      <c r="E202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242</v>
      </c>
      <c r="F202" s="23"/>
      <c r="G202" s="24"/>
      <c r="H202" s="39"/>
      <c r="I202" s="40"/>
      <c r="J202" s="41"/>
      <c r="K202" s="39"/>
      <c r="L202" s="40"/>
      <c r="M202" s="41"/>
      <c r="N202" s="39"/>
      <c r="O202" s="40"/>
      <c r="P202" s="41"/>
      <c r="Q202" s="39"/>
      <c r="R202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03" spans="2:18" x14ac:dyDescent="0.2">
      <c r="B203" s="29" t="s">
        <v>388</v>
      </c>
      <c r="C203" s="30" t="s">
        <v>389</v>
      </c>
      <c r="D203" s="31">
        <f>Tabla1346891624324250586674829098106114122130138146154138162170178186194162170178202210218226234242250258266274282290298306314322330338344352360368376384[[#This Row],[STOCK]]</f>
        <v>28</v>
      </c>
      <c r="E203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28</v>
      </c>
      <c r="F203" s="30"/>
      <c r="G203" s="31"/>
      <c r="H203" s="42"/>
      <c r="I203" s="43"/>
      <c r="J203" s="44"/>
      <c r="K203" s="42"/>
      <c r="L203" s="43"/>
      <c r="M203" s="44"/>
      <c r="N203" s="42"/>
      <c r="O203" s="43"/>
      <c r="P203" s="44"/>
      <c r="Q203" s="42"/>
      <c r="R203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04" spans="2:18" x14ac:dyDescent="0.2">
      <c r="B204" s="22" t="s">
        <v>390</v>
      </c>
      <c r="C204" s="23" t="s">
        <v>391</v>
      </c>
      <c r="D204" s="24">
        <f>Tabla1346891624324250586674829098106114122130138146154138162170178186194162170178202210218226234242250258266274282290298306314322330338344352360368376384[[#This Row],[STOCK]]</f>
        <v>0</v>
      </c>
      <c r="E204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04" s="23"/>
      <c r="G204" s="24"/>
      <c r="H204" s="39"/>
      <c r="I204" s="40"/>
      <c r="J204" s="41"/>
      <c r="K204" s="39"/>
      <c r="L204" s="40"/>
      <c r="M204" s="41"/>
      <c r="N204" s="39"/>
      <c r="O204" s="40"/>
      <c r="P204" s="41"/>
      <c r="Q204" s="39"/>
      <c r="R204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05" spans="2:18" x14ac:dyDescent="0.2">
      <c r="B205" s="29" t="s">
        <v>392</v>
      </c>
      <c r="C205" s="30" t="s">
        <v>393</v>
      </c>
      <c r="D205" s="31">
        <f>Tabla1346891624324250586674829098106114122130138146154138162170178186194162170178202210218226234242250258266274282290298306314322330338344352360368376384[[#This Row],[STOCK]]</f>
        <v>112</v>
      </c>
      <c r="E205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111</v>
      </c>
      <c r="F205" s="30"/>
      <c r="G205" s="31"/>
      <c r="H205" s="42"/>
      <c r="I205" s="43"/>
      <c r="J205" s="44"/>
      <c r="K205" s="42"/>
      <c r="L205" s="43"/>
      <c r="M205" s="44"/>
      <c r="N205" s="42"/>
      <c r="O205" s="43"/>
      <c r="P205" s="44"/>
      <c r="Q205" s="42">
        <v>1</v>
      </c>
      <c r="R205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1</v>
      </c>
    </row>
    <row r="206" spans="2:18" x14ac:dyDescent="0.2">
      <c r="B206" s="22" t="s">
        <v>394</v>
      </c>
      <c r="C206" s="23" t="s">
        <v>395</v>
      </c>
      <c r="D206" s="24">
        <f>Tabla1346891624324250586674829098106114122130138146154138162170178186194162170178202210218226234242250258266274282290298306314322330338344352360368376384[[#This Row],[STOCK]]</f>
        <v>5</v>
      </c>
      <c r="E206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06" s="23"/>
      <c r="G206" s="24"/>
      <c r="H206" s="39"/>
      <c r="I206" s="40">
        <v>5</v>
      </c>
      <c r="J206" s="41"/>
      <c r="K206" s="39"/>
      <c r="L206" s="40"/>
      <c r="M206" s="41"/>
      <c r="N206" s="39"/>
      <c r="O206" s="40"/>
      <c r="P206" s="41"/>
      <c r="Q206" s="39"/>
      <c r="R206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5</v>
      </c>
    </row>
    <row r="207" spans="2:18" x14ac:dyDescent="0.2">
      <c r="B207" s="29" t="s">
        <v>396</v>
      </c>
      <c r="C207" s="30" t="s">
        <v>397</v>
      </c>
      <c r="D207" s="31">
        <f>Tabla1346891624324250586674829098106114122130138146154138162170178186194162170178202210218226234242250258266274282290298306314322330338344352360368376384[[#This Row],[STOCK]]</f>
        <v>99</v>
      </c>
      <c r="E207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65</v>
      </c>
      <c r="F207" s="30"/>
      <c r="G207" s="31"/>
      <c r="H207" s="42"/>
      <c r="I207" s="43"/>
      <c r="J207" s="44"/>
      <c r="K207" s="42">
        <v>5</v>
      </c>
      <c r="L207" s="43"/>
      <c r="M207" s="44">
        <v>3</v>
      </c>
      <c r="N207" s="42"/>
      <c r="O207" s="43"/>
      <c r="P207" s="44"/>
      <c r="Q207" s="42">
        <v>26</v>
      </c>
      <c r="R207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34</v>
      </c>
    </row>
    <row r="208" spans="2:18" x14ac:dyDescent="0.2">
      <c r="B208" s="22" t="s">
        <v>398</v>
      </c>
      <c r="C208" s="23" t="s">
        <v>399</v>
      </c>
      <c r="D208" s="24">
        <f>Tabla1346891624324250586674829098106114122130138146154138162170178186194162170178202210218226234242250258266274282290298306314322330338344352360368376384[[#This Row],[STOCK]]</f>
        <v>10</v>
      </c>
      <c r="E208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08" s="23"/>
      <c r="G208" s="24"/>
      <c r="H208" s="39"/>
      <c r="I208" s="40">
        <v>10</v>
      </c>
      <c r="J208" s="41"/>
      <c r="K208" s="39"/>
      <c r="L208" s="40"/>
      <c r="M208" s="41"/>
      <c r="N208" s="39"/>
      <c r="O208" s="40"/>
      <c r="P208" s="41"/>
      <c r="Q208" s="39"/>
      <c r="R208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10</v>
      </c>
    </row>
    <row r="209" spans="2:18" x14ac:dyDescent="0.2">
      <c r="B209" s="29" t="s">
        <v>400</v>
      </c>
      <c r="C209" s="30" t="s">
        <v>401</v>
      </c>
      <c r="D209" s="31">
        <f>Tabla1346891624324250586674829098106114122130138146154138162170178186194162170178202210218226234242250258266274282290298306314322330338344352360368376384[[#This Row],[STOCK]]</f>
        <v>89</v>
      </c>
      <c r="E209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74</v>
      </c>
      <c r="F209" s="30"/>
      <c r="G209" s="31"/>
      <c r="H209" s="42"/>
      <c r="I209" s="43"/>
      <c r="J209" s="44"/>
      <c r="K209" s="42">
        <v>15</v>
      </c>
      <c r="L209" s="43"/>
      <c r="M209" s="44"/>
      <c r="N209" s="42"/>
      <c r="O209" s="43"/>
      <c r="P209" s="44"/>
      <c r="Q209" s="42"/>
      <c r="R209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15</v>
      </c>
    </row>
    <row r="210" spans="2:18" x14ac:dyDescent="0.2">
      <c r="B210" s="22" t="s">
        <v>402</v>
      </c>
      <c r="C210" s="23" t="s">
        <v>403</v>
      </c>
      <c r="D210" s="24">
        <f>Tabla1346891624324250586674829098106114122130138146154138162170178186194162170178202210218226234242250258266274282290298306314322330338344352360368376384[[#This Row],[STOCK]]</f>
        <v>0</v>
      </c>
      <c r="E210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10" s="23"/>
      <c r="G210" s="24"/>
      <c r="H210" s="39"/>
      <c r="I210" s="40"/>
      <c r="J210" s="41"/>
      <c r="K210" s="39"/>
      <c r="L210" s="40"/>
      <c r="M210" s="41"/>
      <c r="N210" s="39"/>
      <c r="O210" s="40"/>
      <c r="P210" s="41"/>
      <c r="Q210" s="39"/>
      <c r="R210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11" spans="2:18" x14ac:dyDescent="0.2">
      <c r="B211" s="29" t="s">
        <v>404</v>
      </c>
      <c r="C211" s="30" t="s">
        <v>405</v>
      </c>
      <c r="D211" s="31">
        <f>Tabla1346891624324250586674829098106114122130138146154138162170178186194162170178202210218226234242250258266274282290298306314322330338344352360368376384[[#This Row],[STOCK]]</f>
        <v>23</v>
      </c>
      <c r="E211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9</v>
      </c>
      <c r="F211" s="30"/>
      <c r="G211" s="31"/>
      <c r="H211" s="42"/>
      <c r="I211" s="43"/>
      <c r="J211" s="44"/>
      <c r="K211" s="42">
        <v>13</v>
      </c>
      <c r="L211" s="43"/>
      <c r="M211" s="44"/>
      <c r="N211" s="42"/>
      <c r="O211" s="43"/>
      <c r="P211" s="44"/>
      <c r="Q211" s="42">
        <v>1</v>
      </c>
      <c r="R211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14</v>
      </c>
    </row>
    <row r="212" spans="2:18" x14ac:dyDescent="0.2">
      <c r="B212" s="22" t="s">
        <v>406</v>
      </c>
      <c r="C212" s="23" t="s">
        <v>407</v>
      </c>
      <c r="D212" s="24">
        <f>Tabla1346891624324250586674829098106114122130138146154138162170178186194162170178202210218226234242250258266274282290298306314322330338344352360368376384[[#This Row],[STOCK]]</f>
        <v>259</v>
      </c>
      <c r="E212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257</v>
      </c>
      <c r="F212" s="23"/>
      <c r="G212" s="24"/>
      <c r="H212" s="39"/>
      <c r="I212" s="40"/>
      <c r="J212" s="41"/>
      <c r="K212" s="39">
        <v>2</v>
      </c>
      <c r="L212" s="40"/>
      <c r="M212" s="41"/>
      <c r="N212" s="39"/>
      <c r="O212" s="40"/>
      <c r="P212" s="41"/>
      <c r="Q212" s="39"/>
      <c r="R212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2</v>
      </c>
    </row>
    <row r="213" spans="2:18" x14ac:dyDescent="0.2">
      <c r="B213" s="29" t="s">
        <v>408</v>
      </c>
      <c r="C213" s="30" t="s">
        <v>409</v>
      </c>
      <c r="D213" s="31">
        <f>Tabla1346891624324250586674829098106114122130138146154138162170178186194162170178202210218226234242250258266274282290298306314322330338344352360368376384[[#This Row],[STOCK]]</f>
        <v>116</v>
      </c>
      <c r="E213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66</v>
      </c>
      <c r="F213" s="30"/>
      <c r="G213" s="31"/>
      <c r="H213" s="42"/>
      <c r="I213" s="43"/>
      <c r="J213" s="44"/>
      <c r="K213" s="42">
        <v>45</v>
      </c>
      <c r="L213" s="43"/>
      <c r="M213" s="44"/>
      <c r="N213" s="42"/>
      <c r="O213" s="43">
        <v>4</v>
      </c>
      <c r="P213" s="44"/>
      <c r="Q213" s="42">
        <v>1</v>
      </c>
      <c r="R213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50</v>
      </c>
    </row>
    <row r="214" spans="2:18" x14ac:dyDescent="0.2">
      <c r="B214" s="22" t="s">
        <v>410</v>
      </c>
      <c r="C214" s="23" t="s">
        <v>411</v>
      </c>
      <c r="D214" s="24">
        <f>Tabla1346891624324250586674829098106114122130138146154138162170178186194162170178202210218226234242250258266274282290298306314322330338344352360368376384[[#This Row],[STOCK]]</f>
        <v>108</v>
      </c>
      <c r="E214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11</v>
      </c>
      <c r="F214" s="23"/>
      <c r="G214" s="24"/>
      <c r="H214" s="39"/>
      <c r="I214" s="40">
        <v>5</v>
      </c>
      <c r="J214" s="41"/>
      <c r="K214" s="39">
        <v>28</v>
      </c>
      <c r="L214" s="40"/>
      <c r="M214" s="41">
        <v>6</v>
      </c>
      <c r="N214" s="39"/>
      <c r="O214" s="40">
        <v>21</v>
      </c>
      <c r="P214" s="41"/>
      <c r="Q214" s="39">
        <v>37</v>
      </c>
      <c r="R214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97</v>
      </c>
    </row>
    <row r="215" spans="2:18" ht="13.5" customHeight="1" x14ac:dyDescent="0.2">
      <c r="B215" s="29" t="s">
        <v>412</v>
      </c>
      <c r="C215" s="30" t="s">
        <v>413</v>
      </c>
      <c r="D215" s="31">
        <f>Tabla1346891624324250586674829098106114122130138146154138162170178186194162170178202210218226234242250258266274282290298306314322330338344352360368376384[[#This Row],[STOCK]]</f>
        <v>84</v>
      </c>
      <c r="E215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28</v>
      </c>
      <c r="F215" s="30"/>
      <c r="G215" s="31"/>
      <c r="H215" s="42"/>
      <c r="I215" s="43"/>
      <c r="J215" s="44"/>
      <c r="K215" s="42">
        <v>49</v>
      </c>
      <c r="L215" s="43"/>
      <c r="M215" s="44">
        <v>3</v>
      </c>
      <c r="N215" s="42"/>
      <c r="O215" s="43">
        <v>1</v>
      </c>
      <c r="P215" s="44"/>
      <c r="Q215" s="42">
        <v>3</v>
      </c>
      <c r="R215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56</v>
      </c>
    </row>
    <row r="216" spans="2:18" x14ac:dyDescent="0.2">
      <c r="B216" s="22" t="s">
        <v>414</v>
      </c>
      <c r="C216" s="23" t="s">
        <v>415</v>
      </c>
      <c r="D216" s="24">
        <f>Tabla1346891624324250586674829098106114122130138146154138162170178186194162170178202210218226234242250258266274282290298306314322330338344352360368376384[[#This Row],[STOCK]]</f>
        <v>14</v>
      </c>
      <c r="E216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110</v>
      </c>
      <c r="F216" s="23"/>
      <c r="G216" s="24"/>
      <c r="H216" s="39"/>
      <c r="I216" s="40"/>
      <c r="J216" s="41"/>
      <c r="K216" s="39">
        <v>12</v>
      </c>
      <c r="L216" s="40"/>
      <c r="M216" s="41"/>
      <c r="N216" s="39"/>
      <c r="O216" s="40">
        <v>1</v>
      </c>
      <c r="P216" s="41">
        <v>114</v>
      </c>
      <c r="Q216" s="39">
        <v>5</v>
      </c>
      <c r="R216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18</v>
      </c>
    </row>
    <row r="217" spans="2:18" x14ac:dyDescent="0.2">
      <c r="B217" s="29" t="s">
        <v>416</v>
      </c>
      <c r="C217" s="30" t="s">
        <v>417</v>
      </c>
      <c r="D217" s="31">
        <f>Tabla1346891624324250586674829098106114122130138146154138162170178186194162170178202210218226234242250258266274282290298306314322330338344352360368376384[[#This Row],[STOCK]]</f>
        <v>17</v>
      </c>
      <c r="E217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17" s="30"/>
      <c r="G217" s="31"/>
      <c r="H217" s="42"/>
      <c r="I217" s="43"/>
      <c r="J217" s="44"/>
      <c r="K217" s="42">
        <v>14</v>
      </c>
      <c r="L217" s="43"/>
      <c r="M217" s="44"/>
      <c r="N217" s="42">
        <v>1</v>
      </c>
      <c r="O217" s="43">
        <v>3</v>
      </c>
      <c r="P217" s="44"/>
      <c r="Q217" s="42">
        <v>1</v>
      </c>
      <c r="R217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18</v>
      </c>
    </row>
    <row r="218" spans="2:18" ht="13.5" customHeight="1" x14ac:dyDescent="0.2">
      <c r="B218" s="22" t="s">
        <v>418</v>
      </c>
      <c r="C218" s="23" t="s">
        <v>419</v>
      </c>
      <c r="D218" s="24">
        <f>Tabla1346891624324250586674829098106114122130138146154138162170178186194162170178202210218226234242250258266274282290298306314322330338344352360368376384[[#This Row],[STOCK]]</f>
        <v>31</v>
      </c>
      <c r="E218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18" s="23"/>
      <c r="G218" s="24"/>
      <c r="H218" s="39"/>
      <c r="I218" s="40"/>
      <c r="J218" s="41"/>
      <c r="K218" s="39">
        <v>31</v>
      </c>
      <c r="L218" s="40"/>
      <c r="M218" s="41"/>
      <c r="N218" s="39"/>
      <c r="O218" s="40"/>
      <c r="P218" s="41"/>
      <c r="Q218" s="39"/>
      <c r="R218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31</v>
      </c>
    </row>
    <row r="219" spans="2:18" ht="12" customHeight="1" x14ac:dyDescent="0.2">
      <c r="B219" s="29" t="s">
        <v>420</v>
      </c>
      <c r="C219" s="30" t="s">
        <v>421</v>
      </c>
      <c r="D219" s="31">
        <f>Tabla1346891624324250586674829098106114122130138146154138162170178186194162170178202210218226234242250258266274282290298306314322330338344352360368376384[[#This Row],[STOCK]]</f>
        <v>4</v>
      </c>
      <c r="E219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19" s="30"/>
      <c r="G219" s="31"/>
      <c r="H219" s="42"/>
      <c r="I219" s="43"/>
      <c r="J219" s="44"/>
      <c r="K219" s="42">
        <v>2</v>
      </c>
      <c r="L219" s="43"/>
      <c r="M219" s="44"/>
      <c r="N219" s="42"/>
      <c r="O219" s="43">
        <v>2</v>
      </c>
      <c r="P219" s="44"/>
      <c r="Q219" s="42"/>
      <c r="R219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4</v>
      </c>
    </row>
    <row r="220" spans="2:18" ht="13.5" customHeight="1" x14ac:dyDescent="0.2">
      <c r="B220" s="22" t="s">
        <v>422</v>
      </c>
      <c r="C220" s="23" t="s">
        <v>423</v>
      </c>
      <c r="D220" s="24">
        <f>Tabla1346891624324250586674829098106114122130138146154138162170178186194162170178202210218226234242250258266274282290298306314322330338344352360368376384[[#This Row],[STOCK]]</f>
        <v>121</v>
      </c>
      <c r="E220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42</v>
      </c>
      <c r="F220" s="23"/>
      <c r="G220" s="24"/>
      <c r="H220" s="39"/>
      <c r="I220" s="40"/>
      <c r="J220" s="41"/>
      <c r="K220" s="39">
        <v>40</v>
      </c>
      <c r="L220" s="40"/>
      <c r="M220" s="41">
        <v>3</v>
      </c>
      <c r="N220" s="39"/>
      <c r="O220" s="40">
        <v>13</v>
      </c>
      <c r="P220" s="41"/>
      <c r="Q220" s="39">
        <v>23</v>
      </c>
      <c r="R220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79</v>
      </c>
    </row>
    <row r="221" spans="2:18" x14ac:dyDescent="0.2">
      <c r="B221" s="29" t="s">
        <v>424</v>
      </c>
      <c r="C221" s="30" t="s">
        <v>425</v>
      </c>
      <c r="D221" s="31">
        <f>Tabla1346891624324250586674829098106114122130138146154138162170178186194162170178202210218226234242250258266274282290298306314322330338344352360368376384[[#This Row],[STOCK]]</f>
        <v>0</v>
      </c>
      <c r="E221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21" s="30"/>
      <c r="G221" s="31"/>
      <c r="H221" s="42"/>
      <c r="I221" s="43"/>
      <c r="J221" s="44"/>
      <c r="K221" s="42"/>
      <c r="L221" s="43"/>
      <c r="M221" s="44"/>
      <c r="N221" s="42"/>
      <c r="O221" s="43"/>
      <c r="P221" s="44"/>
      <c r="Q221" s="42"/>
      <c r="R221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22" spans="2:18" x14ac:dyDescent="0.2">
      <c r="B222" s="22" t="s">
        <v>426</v>
      </c>
      <c r="C222" s="23" t="s">
        <v>427</v>
      </c>
      <c r="D222" s="24">
        <f>Tabla1346891624324250586674829098106114122130138146154138162170178186194162170178202210218226234242250258266274282290298306314322330338344352360368376384[[#This Row],[STOCK]]</f>
        <v>20</v>
      </c>
      <c r="E222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15</v>
      </c>
      <c r="F222" s="23"/>
      <c r="G222" s="24"/>
      <c r="H222" s="39"/>
      <c r="I222" s="40"/>
      <c r="J222" s="41"/>
      <c r="K222" s="39">
        <v>3</v>
      </c>
      <c r="L222" s="40"/>
      <c r="M222" s="41"/>
      <c r="N222" s="39"/>
      <c r="O222" s="40">
        <v>2</v>
      </c>
      <c r="P222" s="41"/>
      <c r="Q222" s="39"/>
      <c r="R222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5</v>
      </c>
    </row>
    <row r="223" spans="2:18" x14ac:dyDescent="0.2">
      <c r="B223" s="29" t="s">
        <v>428</v>
      </c>
      <c r="C223" s="30" t="s">
        <v>429</v>
      </c>
      <c r="D223" s="31">
        <f>Tabla1346891624324250586674829098106114122130138146154138162170178186194162170178202210218226234242250258266274282290298306314322330338344352360368376384[[#This Row],[STOCK]]</f>
        <v>7</v>
      </c>
      <c r="E223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23" s="30"/>
      <c r="G223" s="31"/>
      <c r="H223" s="42"/>
      <c r="I223" s="43"/>
      <c r="J223" s="44"/>
      <c r="K223" s="42">
        <v>7</v>
      </c>
      <c r="L223" s="43"/>
      <c r="M223" s="44"/>
      <c r="N223" s="42"/>
      <c r="O223" s="43"/>
      <c r="P223" s="44"/>
      <c r="Q223" s="42"/>
      <c r="R223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7</v>
      </c>
    </row>
    <row r="224" spans="2:18" x14ac:dyDescent="0.2">
      <c r="B224" s="22" t="s">
        <v>430</v>
      </c>
      <c r="C224" s="23" t="s">
        <v>431</v>
      </c>
      <c r="D224" s="24">
        <f>Tabla1346891624324250586674829098106114122130138146154138162170178186194162170178202210218226234242250258266274282290298306314322330338344352360368376384[[#This Row],[STOCK]]</f>
        <v>42</v>
      </c>
      <c r="E224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42</v>
      </c>
      <c r="F224" s="23"/>
      <c r="G224" s="24"/>
      <c r="H224" s="39"/>
      <c r="I224" s="40"/>
      <c r="J224" s="41"/>
      <c r="K224" s="39"/>
      <c r="L224" s="40"/>
      <c r="M224" s="41"/>
      <c r="N224" s="39"/>
      <c r="O224" s="40"/>
      <c r="P224" s="41"/>
      <c r="Q224" s="39"/>
      <c r="R224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25" spans="2:18" x14ac:dyDescent="0.2">
      <c r="B225" s="29" t="s">
        <v>432</v>
      </c>
      <c r="C225" s="30" t="s">
        <v>433</v>
      </c>
      <c r="D225" s="31">
        <f>Tabla1346891624324250586674829098106114122130138146154138162170178186194162170178202210218226234242250258266274282290298306314322330338344352360368376384[[#This Row],[STOCK]]</f>
        <v>75</v>
      </c>
      <c r="E225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65</v>
      </c>
      <c r="F225" s="30"/>
      <c r="G225" s="31"/>
      <c r="H225" s="42"/>
      <c r="I225" s="43"/>
      <c r="J225" s="44"/>
      <c r="K225" s="42">
        <v>10</v>
      </c>
      <c r="L225" s="43"/>
      <c r="M225" s="44"/>
      <c r="N225" s="42"/>
      <c r="O225" s="43"/>
      <c r="P225" s="44"/>
      <c r="Q225" s="42"/>
      <c r="R225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10</v>
      </c>
    </row>
    <row r="226" spans="2:18" x14ac:dyDescent="0.2">
      <c r="B226" s="22" t="s">
        <v>434</v>
      </c>
      <c r="C226" s="23" t="s">
        <v>435</v>
      </c>
      <c r="D226" s="24">
        <f>Tabla1346891624324250586674829098106114122130138146154138162170178186194162170178202210218226234242250258266274282290298306314322330338344352360368376384[[#This Row],[STOCK]]</f>
        <v>156</v>
      </c>
      <c r="E226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145</v>
      </c>
      <c r="F226" s="23"/>
      <c r="G226" s="24"/>
      <c r="H226" s="39"/>
      <c r="I226" s="40"/>
      <c r="J226" s="41"/>
      <c r="K226" s="39">
        <v>10</v>
      </c>
      <c r="L226" s="40"/>
      <c r="M226" s="41"/>
      <c r="N226" s="39"/>
      <c r="O226" s="40"/>
      <c r="P226" s="41"/>
      <c r="Q226" s="39">
        <v>1</v>
      </c>
      <c r="R226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11</v>
      </c>
    </row>
    <row r="227" spans="2:18" x14ac:dyDescent="0.2">
      <c r="B227" s="29" t="s">
        <v>436</v>
      </c>
      <c r="C227" s="30" t="s">
        <v>437</v>
      </c>
      <c r="D227" s="31">
        <f>Tabla1346891624324250586674829098106114122130138146154138162170178186194162170178202210218226234242250258266274282290298306314322330338344352360368376384[[#This Row],[STOCK]]</f>
        <v>34</v>
      </c>
      <c r="E227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34</v>
      </c>
      <c r="F227" s="30"/>
      <c r="G227" s="31"/>
      <c r="H227" s="42"/>
      <c r="I227" s="43"/>
      <c r="J227" s="44"/>
      <c r="K227" s="42"/>
      <c r="L227" s="43"/>
      <c r="M227" s="44"/>
      <c r="N227" s="42"/>
      <c r="O227" s="43"/>
      <c r="P227" s="44"/>
      <c r="Q227" s="42"/>
      <c r="R227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28" spans="2:18" x14ac:dyDescent="0.2">
      <c r="B228" s="22" t="s">
        <v>438</v>
      </c>
      <c r="C228" s="23" t="s">
        <v>439</v>
      </c>
      <c r="D228" s="24">
        <f>Tabla1346891624324250586674829098106114122130138146154138162170178186194162170178202210218226234242250258266274282290298306314322330338344352360368376384[[#This Row],[STOCK]]</f>
        <v>0</v>
      </c>
      <c r="E228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28" s="23"/>
      <c r="G228" s="24"/>
      <c r="H228" s="39"/>
      <c r="I228" s="40"/>
      <c r="J228" s="41"/>
      <c r="K228" s="39"/>
      <c r="L228" s="40"/>
      <c r="M228" s="41"/>
      <c r="N228" s="39"/>
      <c r="O228" s="40"/>
      <c r="P228" s="41"/>
      <c r="Q228" s="39"/>
      <c r="R228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29" spans="2:18" x14ac:dyDescent="0.2">
      <c r="B229" s="29" t="s">
        <v>440</v>
      </c>
      <c r="C229" s="30" t="s">
        <v>441</v>
      </c>
      <c r="D229" s="31">
        <f>Tabla1346891624324250586674829098106114122130138146154138162170178186194162170178202210218226234242250258266274282290298306314322330338344352360368376384[[#This Row],[STOCK]]</f>
        <v>0</v>
      </c>
      <c r="E229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29" s="30"/>
      <c r="G229" s="31"/>
      <c r="H229" s="42"/>
      <c r="I229" s="43"/>
      <c r="J229" s="44"/>
      <c r="K229" s="42"/>
      <c r="L229" s="43"/>
      <c r="M229" s="44"/>
      <c r="N229" s="42"/>
      <c r="O229" s="43"/>
      <c r="P229" s="44"/>
      <c r="Q229" s="42"/>
      <c r="R229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30" spans="2:18" x14ac:dyDescent="0.2">
      <c r="B230" s="22" t="s">
        <v>442</v>
      </c>
      <c r="C230" s="23" t="s">
        <v>443</v>
      </c>
      <c r="D230" s="24">
        <f>Tabla1346891624324250586674829098106114122130138146154138162170178186194162170178202210218226234242250258266274282290298306314322330338344352360368376384[[#This Row],[STOCK]]</f>
        <v>0</v>
      </c>
      <c r="E230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30" s="23"/>
      <c r="G230" s="24"/>
      <c r="H230" s="39"/>
      <c r="I230" s="40"/>
      <c r="J230" s="41"/>
      <c r="K230" s="39"/>
      <c r="L230" s="40"/>
      <c r="M230" s="41"/>
      <c r="N230" s="39"/>
      <c r="O230" s="40"/>
      <c r="P230" s="41"/>
      <c r="Q230" s="39"/>
      <c r="R230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31" spans="2:18" x14ac:dyDescent="0.2">
      <c r="B231" s="29" t="s">
        <v>444</v>
      </c>
      <c r="C231" s="30" t="s">
        <v>445</v>
      </c>
      <c r="D231" s="31">
        <f>Tabla1346891624324250586674829098106114122130138146154138162170178186194162170178202210218226234242250258266274282290298306314322330338344352360368376384[[#This Row],[STOCK]]</f>
        <v>0</v>
      </c>
      <c r="E231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31" s="30"/>
      <c r="G231" s="31"/>
      <c r="H231" s="42"/>
      <c r="I231" s="43"/>
      <c r="J231" s="44"/>
      <c r="K231" s="42"/>
      <c r="L231" s="43"/>
      <c r="M231" s="44"/>
      <c r="N231" s="42"/>
      <c r="O231" s="43"/>
      <c r="P231" s="44"/>
      <c r="Q231" s="42"/>
      <c r="R231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32" spans="2:18" x14ac:dyDescent="0.2">
      <c r="B232" s="22" t="s">
        <v>446</v>
      </c>
      <c r="C232" s="23" t="s">
        <v>447</v>
      </c>
      <c r="D232" s="24">
        <f>Tabla1346891624324250586674829098106114122130138146154138162170178186194162170178202210218226234242250258266274282290298306314322330338344352360368376384[[#This Row],[STOCK]]</f>
        <v>0</v>
      </c>
      <c r="E232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32" s="23"/>
      <c r="G232" s="24"/>
      <c r="H232" s="39"/>
      <c r="I232" s="40"/>
      <c r="J232" s="41"/>
      <c r="K232" s="39"/>
      <c r="L232" s="40"/>
      <c r="M232" s="41"/>
      <c r="N232" s="39"/>
      <c r="O232" s="40"/>
      <c r="P232" s="41"/>
      <c r="Q232" s="39"/>
      <c r="R232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33" spans="2:18" x14ac:dyDescent="0.2">
      <c r="B233" s="29" t="s">
        <v>448</v>
      </c>
      <c r="C233" s="30" t="s">
        <v>449</v>
      </c>
      <c r="D233" s="31">
        <f>Tabla1346891624324250586674829098106114122130138146154138162170178186194162170178202210218226234242250258266274282290298306314322330338344352360368376384[[#This Row],[STOCK]]</f>
        <v>0</v>
      </c>
      <c r="E233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33" s="30"/>
      <c r="G233" s="31"/>
      <c r="H233" s="42"/>
      <c r="I233" s="43"/>
      <c r="J233" s="44"/>
      <c r="K233" s="42"/>
      <c r="L233" s="43"/>
      <c r="M233" s="44"/>
      <c r="N233" s="42"/>
      <c r="O233" s="43"/>
      <c r="P233" s="44"/>
      <c r="Q233" s="42"/>
      <c r="R233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34" spans="2:18" x14ac:dyDescent="0.2">
      <c r="B234" s="22" t="s">
        <v>450</v>
      </c>
      <c r="C234" s="23" t="s">
        <v>451</v>
      </c>
      <c r="D234" s="24">
        <f>Tabla1346891624324250586674829098106114122130138146154138162170178186194162170178202210218226234242250258266274282290298306314322330338344352360368376384[[#This Row],[STOCK]]</f>
        <v>0</v>
      </c>
      <c r="E234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34" s="23"/>
      <c r="G234" s="24"/>
      <c r="H234" s="39"/>
      <c r="I234" s="40"/>
      <c r="J234" s="41"/>
      <c r="K234" s="39"/>
      <c r="L234" s="40"/>
      <c r="M234" s="41"/>
      <c r="N234" s="39"/>
      <c r="O234" s="40"/>
      <c r="P234" s="41"/>
      <c r="Q234" s="39"/>
      <c r="R234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35" spans="2:18" x14ac:dyDescent="0.2">
      <c r="B235" s="29" t="s">
        <v>452</v>
      </c>
      <c r="C235" s="30" t="s">
        <v>453</v>
      </c>
      <c r="D235" s="31">
        <f>Tabla1346891624324250586674829098106114122130138146154138162170178186194162170178202210218226234242250258266274282290298306314322330338344352360368376384[[#This Row],[STOCK]]</f>
        <v>0</v>
      </c>
      <c r="E235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35" s="30"/>
      <c r="G235" s="31"/>
      <c r="H235" s="42"/>
      <c r="I235" s="43"/>
      <c r="J235" s="44"/>
      <c r="K235" s="42"/>
      <c r="L235" s="43"/>
      <c r="M235" s="44"/>
      <c r="N235" s="42"/>
      <c r="O235" s="43"/>
      <c r="P235" s="44"/>
      <c r="Q235" s="42"/>
      <c r="R235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36" spans="2:18" x14ac:dyDescent="0.2">
      <c r="B236" s="22" t="s">
        <v>454</v>
      </c>
      <c r="C236" s="23" t="s">
        <v>455</v>
      </c>
      <c r="D236" s="24">
        <f>Tabla1346891624324250586674829098106114122130138146154138162170178186194162170178202210218226234242250258266274282290298306314322330338344352360368376384[[#This Row],[STOCK]]</f>
        <v>0</v>
      </c>
      <c r="E236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36" s="23"/>
      <c r="G236" s="24"/>
      <c r="H236" s="39"/>
      <c r="I236" s="40"/>
      <c r="J236" s="41"/>
      <c r="K236" s="39"/>
      <c r="L236" s="40"/>
      <c r="M236" s="41"/>
      <c r="N236" s="39"/>
      <c r="O236" s="40"/>
      <c r="P236" s="41"/>
      <c r="Q236" s="39"/>
      <c r="R236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37" spans="2:18" x14ac:dyDescent="0.2">
      <c r="B237" s="29" t="s">
        <v>456</v>
      </c>
      <c r="C237" s="30" t="s">
        <v>457</v>
      </c>
      <c r="D237" s="31">
        <f>Tabla1346891624324250586674829098106114122130138146154138162170178186194162170178202210218226234242250258266274282290298306314322330338344352360368376384[[#This Row],[STOCK]]</f>
        <v>0</v>
      </c>
      <c r="E237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37" s="30"/>
      <c r="G237" s="31"/>
      <c r="H237" s="42"/>
      <c r="I237" s="43"/>
      <c r="J237" s="44"/>
      <c r="K237" s="42"/>
      <c r="L237" s="43"/>
      <c r="M237" s="44"/>
      <c r="N237" s="42"/>
      <c r="O237" s="43"/>
      <c r="P237" s="44"/>
      <c r="Q237" s="42"/>
      <c r="R237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38" spans="2:18" x14ac:dyDescent="0.2">
      <c r="B238" s="22" t="s">
        <v>458</v>
      </c>
      <c r="C238" s="23" t="s">
        <v>459</v>
      </c>
      <c r="D238" s="24">
        <f>Tabla1346891624324250586674829098106114122130138146154138162170178186194162170178202210218226234242250258266274282290298306314322330338344352360368376384[[#This Row],[STOCK]]</f>
        <v>0</v>
      </c>
      <c r="E238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38" s="23"/>
      <c r="G238" s="24"/>
      <c r="H238" s="39"/>
      <c r="I238" s="40"/>
      <c r="J238" s="41"/>
      <c r="K238" s="39"/>
      <c r="L238" s="40"/>
      <c r="M238" s="41"/>
      <c r="N238" s="39"/>
      <c r="O238" s="40"/>
      <c r="P238" s="41"/>
      <c r="Q238" s="39"/>
      <c r="R238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39" spans="2:18" x14ac:dyDescent="0.2">
      <c r="B239" s="29" t="s">
        <v>460</v>
      </c>
      <c r="C239" s="30" t="s">
        <v>461</v>
      </c>
      <c r="D239" s="31">
        <f>Tabla1346891624324250586674829098106114122130138146154138162170178186194162170178202210218226234242250258266274282290298306314322330338344352360368376384[[#This Row],[STOCK]]</f>
        <v>0</v>
      </c>
      <c r="E239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39" s="30"/>
      <c r="G239" s="31"/>
      <c r="H239" s="42"/>
      <c r="I239" s="43"/>
      <c r="J239" s="44"/>
      <c r="K239" s="42"/>
      <c r="L239" s="43"/>
      <c r="M239" s="44"/>
      <c r="N239" s="42"/>
      <c r="O239" s="43"/>
      <c r="P239" s="44"/>
      <c r="Q239" s="42"/>
      <c r="R239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40" spans="2:18" x14ac:dyDescent="0.2">
      <c r="B240" s="22" t="s">
        <v>462</v>
      </c>
      <c r="C240" s="23" t="s">
        <v>463</v>
      </c>
      <c r="D240" s="24">
        <f>Tabla1346891624324250586674829098106114122130138146154138162170178186194162170178202210218226234242250258266274282290298306314322330338344352360368376384[[#This Row],[STOCK]]</f>
        <v>0</v>
      </c>
      <c r="E240" s="25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40" s="23"/>
      <c r="G240" s="24"/>
      <c r="H240" s="39"/>
      <c r="I240" s="40"/>
      <c r="J240" s="41"/>
      <c r="K240" s="39"/>
      <c r="L240" s="40"/>
      <c r="M240" s="41"/>
      <c r="N240" s="39"/>
      <c r="O240" s="40"/>
      <c r="P240" s="41"/>
      <c r="Q240" s="39"/>
      <c r="R240" s="23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41" spans="2:18" x14ac:dyDescent="0.2">
      <c r="B241" s="29" t="s">
        <v>464</v>
      </c>
      <c r="C241" s="30" t="s">
        <v>465</v>
      </c>
      <c r="D241" s="31">
        <f>Tabla1346891624324250586674829098106114122130138146154138162170178186194162170178202210218226234242250258266274282290298306314322330338344352360368376384[[#This Row],[STOCK]]</f>
        <v>0</v>
      </c>
      <c r="E241" s="32">
        <f>Tabla134689162432425058667482909810611412213013814615413816217017818619416217017820221021822623424225025826627428229029830631432233033834435236036837638416[[#This Row],[INVENTARIO INICIAL]]+Tabla134689162432425058667482909810611412213013814615413816217017818619416217017820221021822623424225025826627428229029830631432233033834435236036837638416[[#This Row],[INGRESO LUNES]]-Tabla134689162432425058667482909810611412213013814615413816217017818619416217017820221021822623424225025826627428229029830631432233033834435236036837638416[[#This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Row],[INGRESO MARTES]]-Tabla134689162432425058667482909810611412213013814615413816217017818619416217017820221021822623424225025826627428229029830631432233033834435236036837638416[[#This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Row],[INGRESO MIERCOLES]]-Tabla134689162432425058667482909810611412213013814615413816217017818619416217017820221021822623424225025826627428229029830631432233033834435236036837638416[[#This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Row],[INGRESO JUEVES]]-Tabla134689162432425058667482909810611412213013814615413816217017818619416217017820221021822623424225025826627428229029830631432233033834435236036837638416[[#This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Row],[INGRESO VIERNES]]-Tabla134689162432425058667482909810611412213013814615413816217017818619416217017820221021822623424225025826627428229029830631432233033834435236036837638416[[#This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Row],[INGRESO SABADO]]-Tabla134689162432425058667482909810611412213013814615413816217017818619416217017820221021822623424225025826627428229029830631432233033834435236036837638416[[#This Row],[SALIDA SABADO]]</f>
        <v>0</v>
      </c>
      <c r="F241" s="30"/>
      <c r="G241" s="31"/>
      <c r="H241" s="42"/>
      <c r="I241" s="43"/>
      <c r="J241" s="44"/>
      <c r="K241" s="42"/>
      <c r="L241" s="43"/>
      <c r="M241" s="44"/>
      <c r="N241" s="42"/>
      <c r="O241" s="43"/>
      <c r="P241" s="44"/>
      <c r="Q241" s="42"/>
      <c r="R241" s="30">
        <f>Tabla134689162432425058667482909810611412213013814615413816217017818619416217017820221021822623424225025826627428229029830631432233033834435236036837638416[[#This Row],[VENTA LUNES]]+Tabla134689162432425058667482909810611412213013814615413816217017818619416217017820221021822623424225025826627428229029830631432233033834435236036837638416[[#This Row],[VENTA MARTES]]+Tabla134689162432425058667482909810611412213013814615413816217017818619416217017820221021822623424225025826627428229029830631432233033834435236036837638416[[#This Row],[VENTA MIERCOLES]]+Tabla134689162432425058667482909810611412213013814615413816217017818619416217017820221021822623424225025826627428229029830631432233033834435236036837638416[[#This Row],[VENTA JUEVES]]+Tabla134689162432425058667482909810611412213013814615413816217017818619416217017820221021822623424225025826627428229029830631432233033834435236036837638416[[#This Row],[SALIDA VIERNES]]+Tabla134689162432425058667482909810611412213013814615413816217017818619416217017820221021822623424225025826627428229029830631432233033834435236036837638416[[#This Row],[SALIDA SABADO]]</f>
        <v>0</v>
      </c>
    </row>
    <row r="243" spans="2:18" s="54" customFormat="1" ht="38.25" x14ac:dyDescent="0.2">
      <c r="B243" s="17" t="s">
        <v>466</v>
      </c>
      <c r="C243" s="17" t="s">
        <v>5</v>
      </c>
      <c r="D243" s="17" t="s">
        <v>6</v>
      </c>
      <c r="E243" s="55" t="s">
        <v>7</v>
      </c>
      <c r="F243" s="17" t="s">
        <v>8</v>
      </c>
      <c r="G243" s="17" t="s">
        <v>51</v>
      </c>
      <c r="H243" s="17" t="s">
        <v>10</v>
      </c>
      <c r="I243" s="17" t="s">
        <v>11</v>
      </c>
      <c r="J243" s="17" t="s">
        <v>12</v>
      </c>
      <c r="K243" s="17" t="s">
        <v>13</v>
      </c>
      <c r="L243" s="17" t="s">
        <v>14</v>
      </c>
      <c r="M243" s="17" t="s">
        <v>15</v>
      </c>
      <c r="N243" s="17" t="s">
        <v>16</v>
      </c>
      <c r="O243" s="17" t="s">
        <v>17</v>
      </c>
      <c r="P243" s="17" t="s">
        <v>18</v>
      </c>
      <c r="Q243" s="17" t="s">
        <v>19</v>
      </c>
      <c r="R243" s="17" t="s">
        <v>20</v>
      </c>
    </row>
    <row r="244" spans="2:18" x14ac:dyDescent="0.2">
      <c r="B244" s="29" t="s">
        <v>467</v>
      </c>
      <c r="C244" s="30" t="s">
        <v>468</v>
      </c>
      <c r="D244" s="31">
        <f>Tabla134689101725334351596775839199107115123131139147155139163171179187195163171179203211219227235243251259267275283291299307315323331339345353361369377385[[#This Row],[STOCK]]</f>
        <v>261</v>
      </c>
      <c r="E244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261</v>
      </c>
      <c r="F244" s="30"/>
      <c r="G244" s="31"/>
      <c r="H244" s="42"/>
      <c r="I244" s="43"/>
      <c r="J244" s="44"/>
      <c r="K244" s="42"/>
      <c r="L244" s="43"/>
      <c r="M244" s="44"/>
      <c r="N244" s="42"/>
      <c r="O244" s="43"/>
      <c r="P244" s="44"/>
      <c r="Q244" s="42"/>
      <c r="R244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45" spans="2:18" x14ac:dyDescent="0.2">
      <c r="B245" s="22" t="s">
        <v>469</v>
      </c>
      <c r="C245" s="23" t="s">
        <v>470</v>
      </c>
      <c r="D245" s="24">
        <f>Tabla134689101725334351596775839199107115123131139147155139163171179187195163171179203211219227235243251259267275283291299307315323331339345353361369377385[[#This Row],[STOCK]]</f>
        <v>293</v>
      </c>
      <c r="E245" s="25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293</v>
      </c>
      <c r="F245" s="23"/>
      <c r="G245" s="24"/>
      <c r="H245" s="39"/>
      <c r="I245" s="40"/>
      <c r="J245" s="41"/>
      <c r="K245" s="39"/>
      <c r="L245" s="40"/>
      <c r="M245" s="41"/>
      <c r="N245" s="39"/>
      <c r="O245" s="40"/>
      <c r="P245" s="41"/>
      <c r="Q245" s="39"/>
      <c r="R245" s="23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46" spans="2:18" x14ac:dyDescent="0.2">
      <c r="B246" s="29" t="s">
        <v>471</v>
      </c>
      <c r="C246" s="30" t="s">
        <v>472</v>
      </c>
      <c r="D246" s="31">
        <f>Tabla134689101725334351596775839199107115123131139147155139163171179187195163171179203211219227235243251259267275283291299307315323331339345353361369377385[[#This Row],[STOCK]]</f>
        <v>213</v>
      </c>
      <c r="E246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213</v>
      </c>
      <c r="F246" s="30"/>
      <c r="G246" s="31"/>
      <c r="H246" s="42"/>
      <c r="I246" s="43"/>
      <c r="J246" s="44"/>
      <c r="K246" s="42"/>
      <c r="L246" s="43"/>
      <c r="M246" s="44"/>
      <c r="N246" s="42"/>
      <c r="O246" s="43"/>
      <c r="P246" s="44"/>
      <c r="Q246" s="42"/>
      <c r="R246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47" spans="2:18" x14ac:dyDescent="0.2">
      <c r="B247" s="22" t="s">
        <v>473</v>
      </c>
      <c r="C247" s="23" t="s">
        <v>474</v>
      </c>
      <c r="D247" s="24">
        <f>Tabla134689101725334351596775839199107115123131139147155139163171179187195163171179203211219227235243251259267275283291299307315323331339345353361369377385[[#This Row],[STOCK]]</f>
        <v>192</v>
      </c>
      <c r="E247" s="25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189</v>
      </c>
      <c r="F247" s="23"/>
      <c r="G247" s="24"/>
      <c r="H247" s="39"/>
      <c r="I247" s="40"/>
      <c r="J247" s="41"/>
      <c r="K247" s="39"/>
      <c r="L247" s="40"/>
      <c r="M247" s="41">
        <v>2</v>
      </c>
      <c r="N247" s="39"/>
      <c r="O247" s="40">
        <v>1</v>
      </c>
      <c r="P247" s="41"/>
      <c r="Q247" s="39"/>
      <c r="R247" s="23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3</v>
      </c>
    </row>
    <row r="248" spans="2:18" x14ac:dyDescent="0.2">
      <c r="B248" s="29" t="s">
        <v>475</v>
      </c>
      <c r="C248" s="30" t="s">
        <v>476</v>
      </c>
      <c r="D248" s="31">
        <f>Tabla134689101725334351596775839199107115123131139147155139163171179187195163171179203211219227235243251259267275283291299307315323331339345353361369377385[[#This Row],[STOCK]]</f>
        <v>617</v>
      </c>
      <c r="E248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614</v>
      </c>
      <c r="F248" s="30"/>
      <c r="G248" s="31"/>
      <c r="H248" s="42"/>
      <c r="I248" s="43"/>
      <c r="J248" s="44"/>
      <c r="K248" s="42"/>
      <c r="L248" s="43"/>
      <c r="M248" s="44">
        <v>2</v>
      </c>
      <c r="N248" s="42"/>
      <c r="O248" s="43">
        <v>1</v>
      </c>
      <c r="P248" s="44"/>
      <c r="Q248" s="42"/>
      <c r="R248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3</v>
      </c>
    </row>
    <row r="249" spans="2:18" x14ac:dyDescent="0.2">
      <c r="B249" s="22" t="s">
        <v>477</v>
      </c>
      <c r="C249" s="23" t="s">
        <v>478</v>
      </c>
      <c r="D249" s="24">
        <f>Tabla134689101725334351596775839199107115123131139147155139163171179187195163171179203211219227235243251259267275283291299307315323331339345353361369377385[[#This Row],[STOCK]]</f>
        <v>268</v>
      </c>
      <c r="E249" s="25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263</v>
      </c>
      <c r="F249" s="23"/>
      <c r="G249" s="24"/>
      <c r="H249" s="39"/>
      <c r="I249" s="40">
        <v>3</v>
      </c>
      <c r="J249" s="41"/>
      <c r="K249" s="39"/>
      <c r="L249" s="40"/>
      <c r="M249" s="41">
        <v>1</v>
      </c>
      <c r="N249" s="39"/>
      <c r="O249" s="40">
        <v>1</v>
      </c>
      <c r="P249" s="41"/>
      <c r="Q249" s="39"/>
      <c r="R249" s="23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5</v>
      </c>
    </row>
    <row r="250" spans="2:18" x14ac:dyDescent="0.2">
      <c r="B250" s="29" t="s">
        <v>479</v>
      </c>
      <c r="C250" s="30" t="s">
        <v>480</v>
      </c>
      <c r="D250" s="31">
        <f>Tabla134689101725334351596775839199107115123131139147155139163171179187195163171179203211219227235243251259267275283291299307315323331339345353361369377385[[#This Row],[STOCK]]</f>
        <v>274</v>
      </c>
      <c r="E250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268</v>
      </c>
      <c r="F250" s="30"/>
      <c r="G250" s="31"/>
      <c r="H250" s="42"/>
      <c r="I250" s="43"/>
      <c r="J250" s="44"/>
      <c r="K250" s="42"/>
      <c r="L250" s="43"/>
      <c r="M250" s="44">
        <v>1</v>
      </c>
      <c r="N250" s="42"/>
      <c r="O250" s="43">
        <v>5</v>
      </c>
      <c r="P250" s="44"/>
      <c r="Q250" s="42"/>
      <c r="R250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6</v>
      </c>
    </row>
    <row r="251" spans="2:18" x14ac:dyDescent="0.2">
      <c r="B251" s="22" t="s">
        <v>481</v>
      </c>
      <c r="C251" s="23" t="s">
        <v>482</v>
      </c>
      <c r="D251" s="24">
        <f>Tabla134689101725334351596775839199107115123131139147155139163171179187195163171179203211219227235243251259267275283291299307315323331339345353361369377385[[#This Row],[STOCK]]</f>
        <v>1037</v>
      </c>
      <c r="E251" s="25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1030</v>
      </c>
      <c r="F251" s="23"/>
      <c r="G251" s="24"/>
      <c r="H251" s="39"/>
      <c r="I251" s="40"/>
      <c r="J251" s="41"/>
      <c r="K251" s="39"/>
      <c r="L251" s="40"/>
      <c r="M251" s="41">
        <v>2</v>
      </c>
      <c r="N251" s="39"/>
      <c r="O251" s="40">
        <v>3</v>
      </c>
      <c r="P251" s="41"/>
      <c r="Q251" s="39">
        <v>2</v>
      </c>
      <c r="R251" s="23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7</v>
      </c>
    </row>
    <row r="252" spans="2:18" x14ac:dyDescent="0.2">
      <c r="B252" s="29" t="s">
        <v>483</v>
      </c>
      <c r="C252" s="30" t="s">
        <v>484</v>
      </c>
      <c r="D252" s="31">
        <f>Tabla134689101725334351596775839199107115123131139147155139163171179187195163171179203211219227235243251259267275283291299307315323331339345353361369377385[[#This Row],[STOCK]]</f>
        <v>725</v>
      </c>
      <c r="E252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716</v>
      </c>
      <c r="F252" s="30"/>
      <c r="G252" s="31"/>
      <c r="H252" s="42"/>
      <c r="I252" s="43"/>
      <c r="J252" s="44"/>
      <c r="K252" s="42">
        <v>3</v>
      </c>
      <c r="L252" s="43"/>
      <c r="M252" s="44">
        <v>2</v>
      </c>
      <c r="N252" s="42"/>
      <c r="O252" s="43">
        <v>3</v>
      </c>
      <c r="P252" s="44"/>
      <c r="Q252" s="42">
        <v>1</v>
      </c>
      <c r="R252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9</v>
      </c>
    </row>
    <row r="253" spans="2:18" x14ac:dyDescent="0.2">
      <c r="B253" s="22" t="s">
        <v>485</v>
      </c>
      <c r="C253" s="23" t="s">
        <v>486</v>
      </c>
      <c r="D253" s="24">
        <f>Tabla134689101725334351596775839199107115123131139147155139163171179187195163171179203211219227235243251259267275283291299307315323331339345353361369377385[[#This Row],[STOCK]]</f>
        <v>589</v>
      </c>
      <c r="E253" s="25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588</v>
      </c>
      <c r="F253" s="23"/>
      <c r="G253" s="24"/>
      <c r="H253" s="39"/>
      <c r="I253" s="40"/>
      <c r="J253" s="41"/>
      <c r="K253" s="39"/>
      <c r="L253" s="40"/>
      <c r="M253" s="41"/>
      <c r="N253" s="39"/>
      <c r="O253" s="40"/>
      <c r="P253" s="41"/>
      <c r="Q253" s="39">
        <v>1</v>
      </c>
      <c r="R253" s="23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1</v>
      </c>
    </row>
    <row r="254" spans="2:18" x14ac:dyDescent="0.2">
      <c r="B254" s="29" t="s">
        <v>487</v>
      </c>
      <c r="C254" s="30" t="s">
        <v>488</v>
      </c>
      <c r="D254" s="31">
        <f>Tabla134689101725334351596775839199107115123131139147155139163171179187195163171179203211219227235243251259267275283291299307315323331339345353361369377385[[#This Row],[STOCK]]</f>
        <v>241</v>
      </c>
      <c r="E254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240</v>
      </c>
      <c r="F254" s="30"/>
      <c r="G254" s="31"/>
      <c r="H254" s="42"/>
      <c r="I254" s="43"/>
      <c r="J254" s="44"/>
      <c r="K254" s="42"/>
      <c r="L254" s="43"/>
      <c r="M254" s="44"/>
      <c r="N254" s="42"/>
      <c r="O254" s="43"/>
      <c r="P254" s="44"/>
      <c r="Q254" s="42">
        <v>1</v>
      </c>
      <c r="R254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1</v>
      </c>
    </row>
    <row r="255" spans="2:18" x14ac:dyDescent="0.2">
      <c r="B255" s="22" t="s">
        <v>489</v>
      </c>
      <c r="C255" s="23" t="s">
        <v>490</v>
      </c>
      <c r="D255" s="24">
        <f>Tabla134689101725334351596775839199107115123131139147155139163171179187195163171179203211219227235243251259267275283291299307315323331339345353361369377385[[#This Row],[STOCK]]</f>
        <v>350</v>
      </c>
      <c r="E255" s="25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350</v>
      </c>
      <c r="F255" s="23"/>
      <c r="G255" s="24"/>
      <c r="H255" s="39"/>
      <c r="I255" s="40"/>
      <c r="J255" s="41"/>
      <c r="K255" s="39"/>
      <c r="L255" s="40"/>
      <c r="M255" s="41"/>
      <c r="N255" s="39"/>
      <c r="O255" s="40"/>
      <c r="P255" s="41"/>
      <c r="Q255" s="39"/>
      <c r="R255" s="23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56" spans="2:18" x14ac:dyDescent="0.2">
      <c r="B256" s="29" t="s">
        <v>491</v>
      </c>
      <c r="C256" s="30" t="s">
        <v>492</v>
      </c>
      <c r="D256" s="31">
        <f>Tabla134689101725334351596775839199107115123131139147155139163171179187195163171179203211219227235243251259267275283291299307315323331339345353361369377385[[#This Row],[STOCK]]</f>
        <v>117</v>
      </c>
      <c r="E256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117</v>
      </c>
      <c r="F256" s="30"/>
      <c r="G256" s="31"/>
      <c r="H256" s="42"/>
      <c r="I256" s="43"/>
      <c r="J256" s="44"/>
      <c r="K256" s="42"/>
      <c r="L256" s="43"/>
      <c r="M256" s="44"/>
      <c r="N256" s="42"/>
      <c r="O256" s="43"/>
      <c r="P256" s="44"/>
      <c r="Q256" s="42"/>
      <c r="R256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57" spans="2:18" x14ac:dyDescent="0.2">
      <c r="B257" s="22" t="s">
        <v>493</v>
      </c>
      <c r="C257" s="23" t="s">
        <v>494</v>
      </c>
      <c r="D257" s="24">
        <f>Tabla134689101725334351596775839199107115123131139147155139163171179187195163171179203211219227235243251259267275283291299307315323331339345353361369377385[[#This Row],[STOCK]]</f>
        <v>224</v>
      </c>
      <c r="E257" s="25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224</v>
      </c>
      <c r="F257" s="23"/>
      <c r="G257" s="24"/>
      <c r="H257" s="39"/>
      <c r="I257" s="40"/>
      <c r="J257" s="41"/>
      <c r="K257" s="39"/>
      <c r="L257" s="40"/>
      <c r="M257" s="41"/>
      <c r="N257" s="39"/>
      <c r="O257" s="40"/>
      <c r="P257" s="41"/>
      <c r="Q257" s="39"/>
      <c r="R257" s="23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58" spans="2:18" x14ac:dyDescent="0.2">
      <c r="B258" s="29" t="s">
        <v>495</v>
      </c>
      <c r="C258" s="30" t="s">
        <v>496</v>
      </c>
      <c r="D258" s="31">
        <f>Tabla134689101725334351596775839199107115123131139147155139163171179187195163171179203211219227235243251259267275283291299307315323331339345353361369377385[[#This Row],[STOCK]]</f>
        <v>355</v>
      </c>
      <c r="E258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355</v>
      </c>
      <c r="F258" s="30"/>
      <c r="G258" s="31"/>
      <c r="H258" s="42"/>
      <c r="I258" s="43"/>
      <c r="J258" s="44"/>
      <c r="K258" s="42"/>
      <c r="L258" s="43"/>
      <c r="M258" s="44"/>
      <c r="N258" s="42"/>
      <c r="O258" s="43"/>
      <c r="P258" s="44"/>
      <c r="Q258" s="42"/>
      <c r="R258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59" spans="2:18" x14ac:dyDescent="0.2">
      <c r="B259" s="22" t="s">
        <v>497</v>
      </c>
      <c r="C259" s="23" t="s">
        <v>498</v>
      </c>
      <c r="D259" s="24">
        <f>Tabla134689101725334351596775839199107115123131139147155139163171179187195163171179203211219227235243251259267275283291299307315323331339345353361369377385[[#This Row],[STOCK]]</f>
        <v>432</v>
      </c>
      <c r="E259" s="25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432</v>
      </c>
      <c r="F259" s="23"/>
      <c r="G259" s="24"/>
      <c r="H259" s="39"/>
      <c r="I259" s="40"/>
      <c r="J259" s="41"/>
      <c r="K259" s="39"/>
      <c r="L259" s="40"/>
      <c r="M259" s="41"/>
      <c r="N259" s="39"/>
      <c r="O259" s="40"/>
      <c r="P259" s="41"/>
      <c r="Q259" s="39"/>
      <c r="R259" s="23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60" spans="2:18" x14ac:dyDescent="0.2">
      <c r="B260" s="29" t="s">
        <v>499</v>
      </c>
      <c r="C260" s="30" t="s">
        <v>500</v>
      </c>
      <c r="D260" s="31">
        <f>Tabla134689101725334351596775839199107115123131139147155139163171179187195163171179203211219227235243251259267275283291299307315323331339345353361369377385[[#This Row],[STOCK]]</f>
        <v>837</v>
      </c>
      <c r="E260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837</v>
      </c>
      <c r="F260" s="30"/>
      <c r="G260" s="31"/>
      <c r="H260" s="42"/>
      <c r="I260" s="43"/>
      <c r="J260" s="44"/>
      <c r="K260" s="42"/>
      <c r="L260" s="43"/>
      <c r="M260" s="44"/>
      <c r="N260" s="42"/>
      <c r="O260" s="43"/>
      <c r="P260" s="44"/>
      <c r="Q260" s="42"/>
      <c r="R260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61" spans="2:18" x14ac:dyDescent="0.2">
      <c r="B261" s="22" t="s">
        <v>501</v>
      </c>
      <c r="C261" s="23" t="s">
        <v>502</v>
      </c>
      <c r="D261" s="24">
        <f>Tabla134689101725334351596775839199107115123131139147155139163171179187195163171179203211219227235243251259267275283291299307315323331339345353361369377385[[#This Row],[STOCK]]</f>
        <v>389</v>
      </c>
      <c r="E261" s="25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389</v>
      </c>
      <c r="F261" s="23"/>
      <c r="G261" s="24"/>
      <c r="H261" s="39"/>
      <c r="I261" s="40"/>
      <c r="J261" s="41"/>
      <c r="K261" s="39"/>
      <c r="L261" s="40"/>
      <c r="M261" s="41"/>
      <c r="N261" s="39"/>
      <c r="O261" s="40"/>
      <c r="P261" s="41"/>
      <c r="Q261" s="39"/>
      <c r="R261" s="23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62" spans="2:18" x14ac:dyDescent="0.2">
      <c r="B262" s="29" t="s">
        <v>503</v>
      </c>
      <c r="C262" s="30" t="s">
        <v>504</v>
      </c>
      <c r="D262" s="31">
        <f>Tabla134689101725334351596775839199107115123131139147155139163171179187195163171179203211219227235243251259267275283291299307315323331339345353361369377385[[#This Row],[STOCK]]</f>
        <v>249</v>
      </c>
      <c r="E262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249</v>
      </c>
      <c r="F262" s="30"/>
      <c r="G262" s="31"/>
      <c r="H262" s="42"/>
      <c r="I262" s="43"/>
      <c r="J262" s="44"/>
      <c r="K262" s="42"/>
      <c r="L262" s="43"/>
      <c r="M262" s="44"/>
      <c r="N262" s="42"/>
      <c r="O262" s="43"/>
      <c r="P262" s="44"/>
      <c r="Q262" s="42"/>
      <c r="R262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63" spans="2:18" x14ac:dyDescent="0.2">
      <c r="B263" s="22" t="s">
        <v>505</v>
      </c>
      <c r="C263" s="23" t="s">
        <v>506</v>
      </c>
      <c r="D263" s="24">
        <f>Tabla134689101725334351596775839199107115123131139147155139163171179187195163171179203211219227235243251259267275283291299307315323331339345353361369377385[[#This Row],[STOCK]]</f>
        <v>465</v>
      </c>
      <c r="E263" s="25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465</v>
      </c>
      <c r="F263" s="23"/>
      <c r="G263" s="24"/>
      <c r="H263" s="39"/>
      <c r="I263" s="40"/>
      <c r="J263" s="41"/>
      <c r="K263" s="39"/>
      <c r="L263" s="40"/>
      <c r="M263" s="41"/>
      <c r="N263" s="39"/>
      <c r="O263" s="40"/>
      <c r="P263" s="41"/>
      <c r="Q263" s="39"/>
      <c r="R263" s="23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  <row r="264" spans="2:18" x14ac:dyDescent="0.2">
      <c r="B264" s="29" t="s">
        <v>507</v>
      </c>
      <c r="C264" s="30" t="s">
        <v>508</v>
      </c>
      <c r="D264" s="31">
        <f>Tabla134689101725334351596775839199107115123131139147155139163171179187195163171179203211219227235243251259267275283291299307315323331339345353361369377385[[#This Row],[STOCK]]</f>
        <v>108</v>
      </c>
      <c r="E264" s="32">
        <f>Tabla13468910172533435159677583919910711512313113914715513916317117918719516317117920321121922723524325125926727528329129930731532333133934535336136937738517[[#This Row],[INVENTARIO INICIAL]]+Tabla13468910172533435159677583919910711512313113914715513916317117918719516317117920321121922723524325125926727528329129930731532333133934535336136937738517[[#This Row],[INGRESO LUNES]]-Tabla13468910172533435159677583919910711512313113914715513916317117918719516317117920321121922723524325125926727528329129930731532333133934535336136937738517[[#This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Row],[INGRESO MARTES]]-Tabla13468910172533435159677583919910711512313113914715513916317117918719516317117920321121922723524325125926727528329129930731532333133934535336136937738517[[#This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Row],[INGRESO MIERCOLES]]-Tabla13468910172533435159677583919910711512313113914715513916317117918719516317117920321121922723524325125926727528329129930731532333133934535336136937738517[[#This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Row],[INGRESO JUEVES]]-Tabla13468910172533435159677583919910711512313113914715513916317117918719516317117920321121922723524325125926727528329129930731532333133934535336136937738517[[#This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Row],[INGRESO VIERNES]]-Tabla13468910172533435159677583919910711512313113914715513916317117918719516317117920321121922723524325125926727528329129930731532333133934535336136937738517[[#This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 INGRESO SABADO]]-Tabla13468910172533435159677583919910711512313113914715513916317117918719516317117920321121922723524325125926727528329129930731532333133934535336136937738517[[#This Row],[VENTA SABADO]]</f>
        <v>108</v>
      </c>
      <c r="F264" s="30"/>
      <c r="G264" s="31"/>
      <c r="H264" s="42"/>
      <c r="I264" s="43"/>
      <c r="J264" s="44"/>
      <c r="K264" s="42"/>
      <c r="L264" s="43"/>
      <c r="M264" s="44"/>
      <c r="N264" s="42"/>
      <c r="O264" s="43"/>
      <c r="P264" s="44"/>
      <c r="Q264" s="42"/>
      <c r="R264" s="30">
        <f>Tabla13468910172533435159677583919910711512313113914715513916317117918719516317117920321121922723524325125926727528329129930731532333133934535336136937738517[[#This Row],[VENTA LUNES]]+Tabla13468910172533435159677583919910711512313113914715513916317117918719516317117920321121922723524325125926727528329129930731532333133934535336136937738517[[#This Row],[VENTA MARTES]]+Tabla13468910172533435159677583919910711512313113914715513916317117918719516317117920321121922723524325125926727528329129930731532333133934535336136937738517[[#This Row],[VENTA MIERCOLES]]+Tabla13468910172533435159677583919910711512313113914715513916317117918719516317117920321121922723524325125926727528329129930731532333133934535336136937738517[[#This Row],[VENTA JUEVES]]+Tabla13468910172533435159677583919910711512313113914715513916317117918719516317117920321121922723524325125926727528329129930731532333133934535336136937738517[[#This Row],[VENTA VIERNES]]+Tabla13468910172533435159677583919910711512313113914715513916317117918719516317117920321121922723524325125926727528329129930731532333133934535336136937738517[[#This Row],[VENTA SABADO]]</f>
        <v>0</v>
      </c>
    </row>
  </sheetData>
  <mergeCells count="5">
    <mergeCell ref="B1:G2"/>
    <mergeCell ref="B4:B5"/>
    <mergeCell ref="C4:D4"/>
    <mergeCell ref="C5:D5"/>
    <mergeCell ref="S20:V20"/>
  </mergeCells>
  <conditionalFormatting sqref="E26:E29">
    <cfRule type="cellIs" dxfId="1079" priority="29" operator="lessThan">
      <formula>51</formula>
    </cfRule>
    <cfRule type="cellIs" dxfId="1078" priority="30" operator="lessThan">
      <formula>0</formula>
    </cfRule>
  </conditionalFormatting>
  <conditionalFormatting sqref="E30:E39">
    <cfRule type="cellIs" dxfId="1077" priority="27" operator="lessThan">
      <formula>51</formula>
    </cfRule>
    <cfRule type="cellIs" dxfId="1076" priority="28" operator="lessThan">
      <formula>0</formula>
    </cfRule>
  </conditionalFormatting>
  <conditionalFormatting sqref="E40:E56">
    <cfRule type="cellIs" dxfId="1075" priority="25" operator="lessThan">
      <formula>51</formula>
    </cfRule>
    <cfRule type="cellIs" dxfId="1074" priority="26" operator="lessThan">
      <formula>0</formula>
    </cfRule>
  </conditionalFormatting>
  <conditionalFormatting sqref="E59:E61">
    <cfRule type="cellIs" dxfId="1073" priority="23" operator="lessThan">
      <formula>51</formula>
    </cfRule>
    <cfRule type="cellIs" dxfId="1072" priority="24" operator="lessThan">
      <formula>0</formula>
    </cfRule>
  </conditionalFormatting>
  <conditionalFormatting sqref="E62:E71">
    <cfRule type="cellIs" dxfId="1071" priority="21" operator="lessThan">
      <formula>51</formula>
    </cfRule>
    <cfRule type="cellIs" dxfId="1070" priority="22" operator="lessThan">
      <formula>0</formula>
    </cfRule>
  </conditionalFormatting>
  <conditionalFormatting sqref="E72:E88">
    <cfRule type="cellIs" dxfId="1069" priority="19" operator="lessThan">
      <formula>51</formula>
    </cfRule>
    <cfRule type="cellIs" dxfId="1068" priority="20" operator="lessThan">
      <formula>0</formula>
    </cfRule>
  </conditionalFormatting>
  <conditionalFormatting sqref="E89:E92">
    <cfRule type="cellIs" dxfId="1067" priority="17" operator="lessThan">
      <formula>51</formula>
    </cfRule>
    <cfRule type="cellIs" dxfId="1066" priority="18" operator="lessThan">
      <formula>0</formula>
    </cfRule>
  </conditionalFormatting>
  <conditionalFormatting sqref="E93:E96">
    <cfRule type="cellIs" dxfId="1065" priority="15" operator="lessThan">
      <formula>51</formula>
    </cfRule>
    <cfRule type="cellIs" dxfId="1064" priority="16" operator="lessThan">
      <formula>0</formula>
    </cfRule>
  </conditionalFormatting>
  <conditionalFormatting sqref="E99:E134">
    <cfRule type="cellIs" dxfId="1063" priority="13" operator="lessThan">
      <formula>51</formula>
    </cfRule>
    <cfRule type="cellIs" dxfId="1062" priority="14" operator="lessThan">
      <formula>0</formula>
    </cfRule>
  </conditionalFormatting>
  <conditionalFormatting sqref="E137:E151">
    <cfRule type="cellIs" dxfId="1061" priority="11" operator="lessThan">
      <formula>51</formula>
    </cfRule>
    <cfRule type="cellIs" dxfId="1060" priority="12" operator="lessThan">
      <formula>0</formula>
    </cfRule>
  </conditionalFormatting>
  <conditionalFormatting sqref="E154:E193">
    <cfRule type="cellIs" dxfId="1059" priority="9" operator="lessThan">
      <formula>51</formula>
    </cfRule>
    <cfRule type="cellIs" dxfId="1058" priority="10" operator="lessThan">
      <formula>0</formula>
    </cfRule>
  </conditionalFormatting>
  <conditionalFormatting sqref="E235:E241">
    <cfRule type="cellIs" dxfId="1057" priority="7" operator="lessThan">
      <formula>51</formula>
    </cfRule>
    <cfRule type="cellIs" dxfId="1056" priority="8" operator="lessThan">
      <formula>0</formula>
    </cfRule>
  </conditionalFormatting>
  <conditionalFormatting sqref="E196:E234">
    <cfRule type="cellIs" dxfId="1055" priority="5" operator="lessThan">
      <formula>51</formula>
    </cfRule>
    <cfRule type="cellIs" dxfId="1054" priority="6" operator="lessThan">
      <formula>0</formula>
    </cfRule>
  </conditionalFormatting>
  <conditionalFormatting sqref="E244:E264">
    <cfRule type="cellIs" dxfId="1053" priority="3" operator="lessThan">
      <formula>51</formula>
    </cfRule>
    <cfRule type="cellIs" dxfId="1052" priority="4" operator="lessThan">
      <formula>0</formula>
    </cfRule>
  </conditionalFormatting>
  <conditionalFormatting sqref="E10:E23">
    <cfRule type="cellIs" dxfId="1051" priority="1" operator="lessThan">
      <formula>51</formula>
    </cfRule>
    <cfRule type="cellIs" dxfId="1050" priority="2" operator="lessThan">
      <formula>0</formula>
    </cfRule>
  </conditionalFormatting>
  <pageMargins left="0.5" right="0.5" top="0.5" bottom="0.5" header="0.5" footer="0.5"/>
  <pageSetup orientation="landscape" horizontalDpi="360" verticalDpi="360" r:id="rId1"/>
  <headerFooter alignWithMargins="0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2B43-5D77-4B33-A585-9DC936FA4144}">
  <sheetPr>
    <pageSetUpPr autoPageBreaks="0"/>
  </sheetPr>
  <dimension ref="A1:V264"/>
  <sheetViews>
    <sheetView showGridLines="0" topLeftCell="A3" zoomScale="140" zoomScaleNormal="140" workbookViewId="0">
      <pane xSplit="5" ySplit="6" topLeftCell="P73" activePane="bottomRight" state="frozen"/>
      <selection activeCell="A3" sqref="A3"/>
      <selection pane="topRight" activeCell="F3" sqref="F3"/>
      <selection pane="bottomLeft" activeCell="A8" sqref="A8"/>
      <selection pane="bottomRight" activeCell="P221" sqref="P221"/>
    </sheetView>
  </sheetViews>
  <sheetFormatPr baseColWidth="10" defaultColWidth="9.140625" defaultRowHeight="12.75" x14ac:dyDescent="0.2"/>
  <cols>
    <col min="1" max="1" width="1.7109375" customWidth="1"/>
    <col min="2" max="2" width="50.140625" customWidth="1"/>
    <col min="3" max="3" width="8" customWidth="1"/>
    <col min="4" max="4" width="11.140625" style="56" customWidth="1"/>
    <col min="5" max="5" width="16.28515625" style="57" customWidth="1"/>
    <col min="6" max="6" width="11.140625" style="3" customWidth="1"/>
    <col min="7" max="7" width="11" style="3" customWidth="1"/>
    <col min="8" max="8" width="11.85546875" style="3" customWidth="1"/>
    <col min="9" max="9" width="11.5703125" style="3" customWidth="1"/>
    <col min="10" max="10" width="14.42578125" style="3" customWidth="1"/>
    <col min="11" max="11" width="13.85546875" style="3" customWidth="1"/>
    <col min="12" max="12" width="11.7109375" style="3" customWidth="1"/>
    <col min="13" max="13" width="11.28515625" style="3" customWidth="1"/>
    <col min="14" max="15" width="12" style="3" customWidth="1"/>
    <col min="16" max="16" width="11.85546875" style="3" customWidth="1"/>
    <col min="17" max="17" width="12.42578125" style="3" customWidth="1"/>
    <col min="18" max="18" width="12.7109375" style="3" customWidth="1"/>
  </cols>
  <sheetData>
    <row r="1" spans="1:18" ht="8.1" customHeight="1" x14ac:dyDescent="0.2">
      <c r="A1" s="1"/>
      <c r="B1" s="66" t="s">
        <v>0</v>
      </c>
      <c r="C1" s="66"/>
      <c r="D1" s="66"/>
      <c r="E1" s="66"/>
      <c r="F1" s="66"/>
      <c r="G1" s="66"/>
      <c r="H1" s="2"/>
      <c r="I1" s="2"/>
      <c r="J1" s="2"/>
    </row>
    <row r="2" spans="1:18" ht="51.95" customHeight="1" x14ac:dyDescent="0.2">
      <c r="A2" s="1"/>
      <c r="B2" s="66"/>
      <c r="C2" s="66"/>
      <c r="D2" s="66"/>
      <c r="E2" s="66"/>
      <c r="F2" s="66"/>
      <c r="G2" s="66"/>
      <c r="H2" s="2"/>
      <c r="I2" s="2"/>
      <c r="J2" s="2"/>
    </row>
    <row r="3" spans="1:18" ht="8.1" customHeight="1" x14ac:dyDescent="0.2">
      <c r="A3" s="4"/>
      <c r="B3" s="5"/>
      <c r="C3" s="5"/>
      <c r="D3" s="6"/>
      <c r="E3" s="7"/>
      <c r="F3" s="2"/>
      <c r="G3" s="2"/>
      <c r="H3" s="2"/>
      <c r="I3" s="2"/>
      <c r="J3" s="2"/>
    </row>
    <row r="4" spans="1:18" ht="22.5" customHeight="1" x14ac:dyDescent="0.2">
      <c r="A4" s="4"/>
      <c r="B4" s="67" t="s">
        <v>1</v>
      </c>
      <c r="C4" s="69" t="s">
        <v>2</v>
      </c>
      <c r="D4" s="70"/>
      <c r="E4" s="8"/>
      <c r="F4" s="9"/>
    </row>
    <row r="5" spans="1:18" ht="17.25" customHeight="1" x14ac:dyDescent="0.2">
      <c r="A5" s="4"/>
      <c r="B5" s="68"/>
      <c r="C5" s="71" t="s">
        <v>3</v>
      </c>
      <c r="D5" s="72"/>
      <c r="E5" s="10"/>
      <c r="F5" s="9"/>
    </row>
    <row r="6" spans="1:18" ht="8.25" customHeight="1" x14ac:dyDescent="0.2">
      <c r="A6" s="4"/>
      <c r="B6" s="11"/>
      <c r="C6" s="9"/>
      <c r="D6" s="9"/>
      <c r="E6" s="12"/>
      <c r="F6" s="9"/>
    </row>
    <row r="7" spans="1:18" ht="18.75" customHeight="1" x14ac:dyDescent="0.2">
      <c r="A7" s="4"/>
      <c r="D7" s="13"/>
      <c r="E7" s="13"/>
      <c r="F7" s="9"/>
      <c r="G7" s="14"/>
      <c r="H7" s="14"/>
      <c r="I7" s="14"/>
      <c r="J7" s="15"/>
    </row>
    <row r="8" spans="1:18" ht="15.95" customHeight="1" x14ac:dyDescent="0.2">
      <c r="A8" s="4"/>
      <c r="C8" s="13"/>
      <c r="D8" s="13"/>
      <c r="E8" s="13"/>
      <c r="F8" s="9"/>
      <c r="G8" s="14"/>
      <c r="H8" s="14"/>
      <c r="I8" s="14"/>
      <c r="J8" s="15"/>
    </row>
    <row r="9" spans="1:18" ht="38.25" customHeight="1" x14ac:dyDescent="0.2">
      <c r="A9" s="4"/>
      <c r="B9" s="16" t="s">
        <v>4</v>
      </c>
      <c r="C9" s="17" t="s">
        <v>5</v>
      </c>
      <c r="D9" s="18" t="s">
        <v>6</v>
      </c>
      <c r="E9" s="19" t="s">
        <v>7</v>
      </c>
      <c r="F9" s="20" t="s">
        <v>8</v>
      </c>
      <c r="G9" s="20" t="s">
        <v>9</v>
      </c>
      <c r="H9" s="20" t="s">
        <v>10</v>
      </c>
      <c r="I9" s="20" t="s">
        <v>11</v>
      </c>
      <c r="J9" s="20" t="s">
        <v>12</v>
      </c>
      <c r="K9" s="20" t="s">
        <v>13</v>
      </c>
      <c r="L9" s="20" t="s">
        <v>14</v>
      </c>
      <c r="M9" s="20" t="s">
        <v>15</v>
      </c>
      <c r="N9" s="20" t="s">
        <v>16</v>
      </c>
      <c r="O9" s="20" t="s">
        <v>17</v>
      </c>
      <c r="P9" s="20" t="s">
        <v>18</v>
      </c>
      <c r="Q9" s="20" t="s">
        <v>19</v>
      </c>
      <c r="R9" s="21" t="s">
        <v>20</v>
      </c>
    </row>
    <row r="10" spans="1:18" ht="15.75" customHeight="1" x14ac:dyDescent="0.2">
      <c r="A10" s="4"/>
      <c r="B10" s="22" t="s">
        <v>21</v>
      </c>
      <c r="C10" s="23" t="s">
        <v>22</v>
      </c>
      <c r="D10" s="24">
        <f>STOCK687684921001081161241321401481321561641721801881561641721962042122202282362442522602682762842923003083163243323434635436237037810[[#This Row],[STOCK]]</f>
        <v>456</v>
      </c>
      <c r="E10" s="25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495</v>
      </c>
      <c r="F10" s="26"/>
      <c r="G10" s="23">
        <v>7</v>
      </c>
      <c r="H10" s="27"/>
      <c r="I10" s="23">
        <v>2</v>
      </c>
      <c r="J10" s="23"/>
      <c r="K10" s="23"/>
      <c r="L10" s="23">
        <v>72</v>
      </c>
      <c r="M10" s="23">
        <v>2</v>
      </c>
      <c r="N10" s="23"/>
      <c r="O10" s="23">
        <v>22</v>
      </c>
      <c r="P10" s="23"/>
      <c r="Q10" s="23"/>
      <c r="R10" s="28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33</v>
      </c>
    </row>
    <row r="11" spans="1:18" ht="15.75" customHeight="1" x14ac:dyDescent="0.2">
      <c r="A11" s="4"/>
      <c r="B11" s="29" t="s">
        <v>23</v>
      </c>
      <c r="C11" s="30" t="s">
        <v>24</v>
      </c>
      <c r="D11" s="31">
        <f>STOCK687684921001081161241321401481321561641721801881561641721962042122202282362442522602682762842923003083163243323434635436237037810[[#This Row],[STOCK]]</f>
        <v>345</v>
      </c>
      <c r="E11" s="32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309</v>
      </c>
      <c r="F11" s="33"/>
      <c r="G11" s="30">
        <v>1</v>
      </c>
      <c r="H11" s="34"/>
      <c r="I11" s="30">
        <v>1</v>
      </c>
      <c r="J11" s="30"/>
      <c r="K11" s="30"/>
      <c r="L11" s="30"/>
      <c r="M11" s="30">
        <v>2</v>
      </c>
      <c r="N11" s="30"/>
      <c r="O11" s="30">
        <v>32</v>
      </c>
      <c r="P11" s="30"/>
      <c r="Q11" s="30"/>
      <c r="R11" s="35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36</v>
      </c>
    </row>
    <row r="12" spans="1:18" ht="15.75" customHeight="1" x14ac:dyDescent="0.2">
      <c r="A12" s="4"/>
      <c r="B12" s="22" t="s">
        <v>25</v>
      </c>
      <c r="C12" s="23" t="s">
        <v>26</v>
      </c>
      <c r="D12" s="24">
        <f>STOCK687684921001081161241321401481321561641721801881561641721962042122202282362442522602682762842923003083163243323434635436237037810[[#This Row],[STOCK]]</f>
        <v>173</v>
      </c>
      <c r="E12" s="25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291</v>
      </c>
      <c r="F12" s="26"/>
      <c r="G12" s="23">
        <v>13</v>
      </c>
      <c r="H12" s="27"/>
      <c r="I12" s="23">
        <v>5</v>
      </c>
      <c r="J12" s="23"/>
      <c r="K12" s="23"/>
      <c r="L12" s="23"/>
      <c r="M12" s="23">
        <v>3</v>
      </c>
      <c r="N12" s="23">
        <v>146</v>
      </c>
      <c r="O12" s="23">
        <v>39</v>
      </c>
      <c r="P12" s="23">
        <v>32</v>
      </c>
      <c r="Q12" s="23"/>
      <c r="R12" s="28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60</v>
      </c>
    </row>
    <row r="13" spans="1:18" ht="16.5" customHeight="1" x14ac:dyDescent="0.2">
      <c r="A13" s="4"/>
      <c r="B13" s="29" t="s">
        <v>27</v>
      </c>
      <c r="C13" s="30" t="s">
        <v>28</v>
      </c>
      <c r="D13" s="31">
        <f>STOCK687684921001081161241321401481321561641721801881561641721962042122202282362442522602682762842923003083163243323434635436237037810[[#This Row],[STOCK]]</f>
        <v>0</v>
      </c>
      <c r="E13" s="32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98</v>
      </c>
      <c r="F13" s="33"/>
      <c r="G13" s="30"/>
      <c r="H13" s="34">
        <v>36</v>
      </c>
      <c r="I13" s="30">
        <v>36</v>
      </c>
      <c r="J13" s="30"/>
      <c r="K13" s="30"/>
      <c r="L13" s="30">
        <v>32</v>
      </c>
      <c r="M13" s="30">
        <v>7</v>
      </c>
      <c r="N13" s="30">
        <v>49</v>
      </c>
      <c r="O13" s="30">
        <v>54</v>
      </c>
      <c r="P13" s="30">
        <v>78</v>
      </c>
      <c r="Q13" s="30"/>
      <c r="R13" s="35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97</v>
      </c>
    </row>
    <row r="14" spans="1:18" ht="15.75" customHeight="1" x14ac:dyDescent="0.2">
      <c r="A14" s="4"/>
      <c r="B14" s="22" t="s">
        <v>29</v>
      </c>
      <c r="C14" s="23" t="s">
        <v>30</v>
      </c>
      <c r="D14" s="24">
        <f>STOCK687684921001081161241321401481321561641721801881561641721962042122202282362442522602682762842923003083163243323434635436237037810[[#This Row],[STOCK]]</f>
        <v>54</v>
      </c>
      <c r="E14" s="25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73</v>
      </c>
      <c r="F14" s="26"/>
      <c r="G14" s="23">
        <v>8</v>
      </c>
      <c r="H14" s="27">
        <v>75</v>
      </c>
      <c r="I14" s="23">
        <v>15</v>
      </c>
      <c r="J14" s="23"/>
      <c r="K14" s="23"/>
      <c r="L14" s="23"/>
      <c r="M14" s="23"/>
      <c r="N14" s="23"/>
      <c r="O14" s="23">
        <v>33</v>
      </c>
      <c r="P14" s="23"/>
      <c r="Q14" s="23"/>
      <c r="R14" s="28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56</v>
      </c>
    </row>
    <row r="15" spans="1:18" ht="15.75" customHeight="1" x14ac:dyDescent="0.2">
      <c r="A15" s="4"/>
      <c r="B15" s="29" t="s">
        <v>31</v>
      </c>
      <c r="C15" s="30" t="s">
        <v>32</v>
      </c>
      <c r="D15" s="31">
        <f>STOCK687684921001081161241321401481321561641721801881561641721962042122202282362442522602682762842923003083163243323434635436237037810[[#This Row],[STOCK]]</f>
        <v>154</v>
      </c>
      <c r="E15" s="32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150</v>
      </c>
      <c r="F15" s="33"/>
      <c r="G15" s="30">
        <v>4</v>
      </c>
      <c r="H15" s="34"/>
      <c r="I15" s="30"/>
      <c r="J15" s="30"/>
      <c r="K15" s="30"/>
      <c r="L15" s="30"/>
      <c r="M15" s="30"/>
      <c r="N15" s="30"/>
      <c r="O15" s="30"/>
      <c r="P15" s="30"/>
      <c r="Q15" s="30"/>
      <c r="R15" s="35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4</v>
      </c>
    </row>
    <row r="16" spans="1:18" ht="16.5" customHeight="1" x14ac:dyDescent="0.2">
      <c r="A16" s="4"/>
      <c r="B16" s="22" t="s">
        <v>33</v>
      </c>
      <c r="C16" s="23" t="s">
        <v>34</v>
      </c>
      <c r="D16" s="24">
        <f>STOCK687684921001081161241321401481321561641721801881561641721962042122202282362442522602682762842923003083163243323434635436237037810[[#This Row],[STOCK]]</f>
        <v>0</v>
      </c>
      <c r="E16" s="25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0</v>
      </c>
      <c r="F16" s="26"/>
      <c r="G16" s="23"/>
      <c r="H16" s="27"/>
      <c r="I16" s="23"/>
      <c r="J16" s="23"/>
      <c r="K16" s="23"/>
      <c r="L16" s="23"/>
      <c r="M16" s="23"/>
      <c r="N16" s="23">
        <v>28</v>
      </c>
      <c r="O16" s="23">
        <v>28</v>
      </c>
      <c r="P16" s="23"/>
      <c r="Q16" s="23"/>
      <c r="R16" s="28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28</v>
      </c>
    </row>
    <row r="17" spans="1:22" ht="15.75" customHeight="1" x14ac:dyDescent="0.2">
      <c r="A17" s="4"/>
      <c r="B17" s="22" t="s">
        <v>35</v>
      </c>
      <c r="C17" s="23" t="s">
        <v>36</v>
      </c>
      <c r="D17" s="24">
        <f>STOCK687684921001081161241321401481321561641721801881561641721962042122202282362442522602682762842923003083163243323434635436237037810[[#This Row],[STOCK]]</f>
        <v>323</v>
      </c>
      <c r="E17" s="25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367</v>
      </c>
      <c r="F17" s="26"/>
      <c r="G17" s="23"/>
      <c r="H17" s="27"/>
      <c r="I17" s="23"/>
      <c r="J17" s="23"/>
      <c r="K17" s="23"/>
      <c r="L17" s="23"/>
      <c r="M17" s="23">
        <v>1</v>
      </c>
      <c r="N17" s="23">
        <v>66</v>
      </c>
      <c r="O17" s="23">
        <v>21</v>
      </c>
      <c r="P17" s="23"/>
      <c r="Q17" s="23"/>
      <c r="R17" s="28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22</v>
      </c>
    </row>
    <row r="18" spans="1:22" ht="15.75" customHeight="1" x14ac:dyDescent="0.2">
      <c r="A18" s="36"/>
      <c r="B18" s="29" t="s">
        <v>37</v>
      </c>
      <c r="C18" s="30" t="s">
        <v>38</v>
      </c>
      <c r="D18" s="31">
        <f>STOCK687684921001081161241321401481321561641721801881561641721962042122202282362442522602682762842923003083163243323434635436237037810[[#This Row],[STOCK]]</f>
        <v>75</v>
      </c>
      <c r="E18" s="32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131</v>
      </c>
      <c r="F18" s="33"/>
      <c r="G18" s="30">
        <v>5</v>
      </c>
      <c r="H18" s="34"/>
      <c r="I18" s="30"/>
      <c r="J18" s="30"/>
      <c r="K18" s="30"/>
      <c r="L18" s="30">
        <v>72</v>
      </c>
      <c r="M18" s="30">
        <v>1</v>
      </c>
      <c r="N18" s="30"/>
      <c r="O18" s="30">
        <v>10</v>
      </c>
      <c r="P18" s="30"/>
      <c r="Q18" s="30"/>
      <c r="R18" s="35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16</v>
      </c>
    </row>
    <row r="19" spans="1:22" ht="15.75" customHeight="1" x14ac:dyDescent="0.2">
      <c r="A19" s="4" t="s">
        <v>39</v>
      </c>
      <c r="B19" s="22" t="s">
        <v>40</v>
      </c>
      <c r="C19" s="23" t="s">
        <v>41</v>
      </c>
      <c r="D19" s="24">
        <f>STOCK687684921001081161241321401481321561641721801881561641721962042122202282362442522602682762842923003083163243323434635436237037810[[#This Row],[STOCK]]</f>
        <v>82</v>
      </c>
      <c r="E19" s="25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219</v>
      </c>
      <c r="F19" s="26"/>
      <c r="G19" s="23">
        <v>13</v>
      </c>
      <c r="H19" s="27"/>
      <c r="I19" s="23"/>
      <c r="J19" s="23"/>
      <c r="K19" s="23"/>
      <c r="L19" s="23"/>
      <c r="M19" s="23">
        <v>4</v>
      </c>
      <c r="N19" s="23">
        <v>161</v>
      </c>
      <c r="O19" s="23">
        <v>26</v>
      </c>
      <c r="P19" s="23">
        <v>19</v>
      </c>
      <c r="Q19" s="23"/>
      <c r="R19" s="28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43</v>
      </c>
    </row>
    <row r="20" spans="1:22" ht="15" customHeight="1" x14ac:dyDescent="0.2">
      <c r="A20" s="4"/>
      <c r="B20" s="22" t="s">
        <v>42</v>
      </c>
      <c r="C20" s="23" t="s">
        <v>43</v>
      </c>
      <c r="D20" s="24">
        <f>STOCK687684921001081161241321401481321561641721801881561641721962042122202282362442522602682762842923003083163243323434635436237037810[[#This Row],[STOCK]]</f>
        <v>276</v>
      </c>
      <c r="E20" s="25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196</v>
      </c>
      <c r="F20" s="26"/>
      <c r="G20" s="23">
        <v>10</v>
      </c>
      <c r="H20" s="27"/>
      <c r="I20" s="23">
        <v>10</v>
      </c>
      <c r="J20" s="23"/>
      <c r="K20" s="23"/>
      <c r="L20" s="23"/>
      <c r="M20" s="23">
        <v>12</v>
      </c>
      <c r="N20" s="23"/>
      <c r="O20" s="23">
        <v>48</v>
      </c>
      <c r="P20" s="23"/>
      <c r="Q20" s="23"/>
      <c r="R20" s="28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80</v>
      </c>
      <c r="S20" s="73"/>
      <c r="T20" s="73"/>
      <c r="U20" s="73"/>
      <c r="V20" s="73"/>
    </row>
    <row r="21" spans="1:22" ht="15.75" customHeight="1" x14ac:dyDescent="0.2">
      <c r="A21" s="4"/>
      <c r="B21" s="29" t="s">
        <v>44</v>
      </c>
      <c r="C21" s="30" t="s">
        <v>45</v>
      </c>
      <c r="D21" s="31">
        <f>STOCK687684921001081161241321401481321561641721801881561641721962042122202282362442522602682762842923003083163243323434635436237037810[[#This Row],[STOCK]]</f>
        <v>102</v>
      </c>
      <c r="E21" s="32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97</v>
      </c>
      <c r="F21" s="33"/>
      <c r="G21" s="30">
        <v>5</v>
      </c>
      <c r="H21" s="34"/>
      <c r="I21" s="30"/>
      <c r="J21" s="30"/>
      <c r="K21" s="30"/>
      <c r="L21" s="30"/>
      <c r="M21" s="30"/>
      <c r="N21" s="30"/>
      <c r="O21" s="30"/>
      <c r="P21" s="30"/>
      <c r="Q21" s="30"/>
      <c r="R21" s="35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5</v>
      </c>
    </row>
    <row r="22" spans="1:22" ht="15.75" customHeight="1" x14ac:dyDescent="0.2">
      <c r="A22" s="4"/>
      <c r="B22" s="22" t="s">
        <v>46</v>
      </c>
      <c r="C22" s="23" t="s">
        <v>47</v>
      </c>
      <c r="D22" s="24">
        <f>STOCK687684921001081161241321401481321561641721801881561641721962042122202282362442522602682762842923003083163243323434635436237037810[[#This Row],[STOCK]]</f>
        <v>123</v>
      </c>
      <c r="E22" s="25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81</v>
      </c>
      <c r="F22" s="26"/>
      <c r="G22" s="23">
        <v>9</v>
      </c>
      <c r="H22" s="27"/>
      <c r="I22" s="23">
        <v>13</v>
      </c>
      <c r="J22" s="23"/>
      <c r="K22" s="23"/>
      <c r="L22" s="23"/>
      <c r="M22" s="23"/>
      <c r="N22" s="23"/>
      <c r="O22" s="23">
        <v>20</v>
      </c>
      <c r="P22" s="23"/>
      <c r="Q22" s="23"/>
      <c r="R22" s="28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42</v>
      </c>
    </row>
    <row r="23" spans="1:22" ht="15.75" customHeight="1" x14ac:dyDescent="0.2">
      <c r="A23" s="4"/>
      <c r="B23" s="29" t="s">
        <v>48</v>
      </c>
      <c r="C23" s="30" t="s">
        <v>49</v>
      </c>
      <c r="D23" s="31">
        <f>STOCK687684921001081161241321401481321561641721801881561641721962042122202282362442522602682762842923003083163243323434635436237037810[[#This Row],[STOCK]]</f>
        <v>131</v>
      </c>
      <c r="E23" s="32">
        <f>STOCK68768492100108116124132140148132156164172180188156164172196204212220228236244252260268276284292300308316324332343463543623703781018[[#This Row],[INVENTARIO INICIAL]]+STOCK68768492100108116124132140148132156164172180188156164172196204212220228236244252260268276284292300308316324332343463543623703781018[[#This Row],[INGRESO LUNES]]-STOCK68768492100108116124132140148132156164172180188156164172196204212220228236244252260268276284292300308316324332343463543623703781018[[#This Row],[VENTA    LUNES]]+STOCK68768492100108116124132140148132156164172180188156164172196204212220228236244252260268276284292300308316324332343463543623703781018[[#This Row],[INGRESO MARTES]]-STOCK68768492100108116124132140148132156164172180188156164172196204212220228236244252260268276284292300308316324332343463543623703781018[[#This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Row],[INGRESO MIERCOLES]]-STOCK68768492100108116124132140148132156164172180188156164172196204212220228236244252260268276284292300308316324332343463543623703781018[[#This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Row],[INGRESO JUEVES]]-STOCK68768492100108116124132140148132156164172180188156164172196204212220228236244252260268276284292300308316324332343463543623703781018[[#This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Row],[INGRESO VIERNES]]-STOCK68768492100108116124132140148132156164172180188156164172196204212220228236244252260268276284292300308316324332343463543623703781018[[#This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 INGRESO SABADO]]-STOCK68768492100108116124132140148132156164172180188156164172196204212220228236244252260268276284292300308316324332343463543623703781018[[#This Row],[VENTA SABADO]]</f>
        <v>116</v>
      </c>
      <c r="F23" s="33"/>
      <c r="G23" s="30">
        <v>5</v>
      </c>
      <c r="H23" s="34"/>
      <c r="I23" s="30"/>
      <c r="J23" s="30"/>
      <c r="K23" s="30"/>
      <c r="L23" s="30"/>
      <c r="M23" s="30"/>
      <c r="N23" s="30"/>
      <c r="O23" s="30">
        <v>10</v>
      </c>
      <c r="P23" s="30"/>
      <c r="Q23" s="30"/>
      <c r="R23" s="35">
        <f>STOCK68768492100108116124132140148132156164172180188156164172196204212220228236244252260268276284292300308316324332343463543623703781018[[#This Row],[VENTA    LUNES]]++STOCK68768492100108116124132140148132156164172180188156164172196204212220228236244252260268276284292300308316324332343463543623703781018[[#This Row],[VENTA MARTES]]+STOCK68768492100108116124132140148132156164172180188156164172196204212220228236244252260268276284292300308316324332343463543623703781018[[#This Row],[VENTA MIERCOLES]]+STOCK68768492100108116124132140148132156164172180188156164172196204212220228236244252260268276284292300308316324332343463543623703781018[[#This Row],[VENTA JUEVES]]+STOCK68768492100108116124132140148132156164172180188156164172196204212220228236244252260268276284292300308316324332343463543623703781018[[#This Row],[VENTA VIERNES]]+STOCK68768492100108116124132140148132156164172180188156164172196204212220228236244252260268276284292300308316324332343463543623703781018[[#This Row],[VENTA SABADO]]</f>
        <v>15</v>
      </c>
    </row>
    <row r="25" spans="1:22" ht="38.25" customHeight="1" x14ac:dyDescent="0.2">
      <c r="B25" s="16" t="s">
        <v>50</v>
      </c>
      <c r="C25" s="17" t="s">
        <v>5</v>
      </c>
      <c r="D25" s="18" t="s">
        <v>6</v>
      </c>
      <c r="E25" s="37" t="s">
        <v>7</v>
      </c>
      <c r="F25" s="38" t="s">
        <v>8</v>
      </c>
      <c r="G25" s="17" t="s">
        <v>51</v>
      </c>
      <c r="H25" s="18" t="s">
        <v>10</v>
      </c>
      <c r="I25" s="38" t="s">
        <v>11</v>
      </c>
      <c r="J25" s="17" t="s">
        <v>12</v>
      </c>
      <c r="K25" s="18" t="s">
        <v>13</v>
      </c>
      <c r="L25" s="17" t="s">
        <v>14</v>
      </c>
      <c r="M25" s="17" t="s">
        <v>15</v>
      </c>
      <c r="N25" s="18" t="s">
        <v>16</v>
      </c>
      <c r="O25" s="18" t="s">
        <v>17</v>
      </c>
      <c r="P25" s="17" t="s">
        <v>18</v>
      </c>
      <c r="Q25" s="18" t="s">
        <v>19</v>
      </c>
      <c r="R25" s="17" t="s">
        <v>20</v>
      </c>
    </row>
    <row r="26" spans="1:22" x14ac:dyDescent="0.2">
      <c r="B26" s="22" t="s">
        <v>52</v>
      </c>
      <c r="C26" s="23" t="s">
        <v>53</v>
      </c>
      <c r="D26" s="24">
        <f>Tabla1311192737455361697785931011091171251331411491331571651731811891571651731972052132212292372452532612692772852933013093173253333534735536337137911[[#This Row],[STOCK]]</f>
        <v>205</v>
      </c>
      <c r="E26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205</v>
      </c>
      <c r="F26" s="26"/>
      <c r="G26" s="23"/>
      <c r="H26" s="27"/>
      <c r="I26" s="23"/>
      <c r="J26" s="23"/>
      <c r="K26" s="23"/>
      <c r="L26" s="23"/>
      <c r="M26" s="23"/>
      <c r="N26" s="23"/>
      <c r="O26" s="23"/>
      <c r="P26" s="23"/>
      <c r="Q26" s="23"/>
      <c r="R26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0</v>
      </c>
    </row>
    <row r="27" spans="1:22" x14ac:dyDescent="0.2">
      <c r="B27" s="29" t="s">
        <v>54</v>
      </c>
      <c r="C27" s="30" t="s">
        <v>55</v>
      </c>
      <c r="D27" s="31">
        <f>Tabla1311192737455361697785931011091171251331411491331571651731811891571651731972052132212292372452532612692772852933013093173253333534735536337137911[[#This Row],[STOCK]]</f>
        <v>163</v>
      </c>
      <c r="E27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163</v>
      </c>
      <c r="F27" s="33"/>
      <c r="G27" s="30"/>
      <c r="H27" s="34"/>
      <c r="I27" s="30"/>
      <c r="J27" s="30"/>
      <c r="K27" s="30"/>
      <c r="L27" s="30"/>
      <c r="M27" s="30"/>
      <c r="N27" s="30"/>
      <c r="O27" s="30"/>
      <c r="P27" s="30"/>
      <c r="Q27" s="30"/>
      <c r="R27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0</v>
      </c>
    </row>
    <row r="28" spans="1:22" ht="13.5" customHeight="1" x14ac:dyDescent="0.2">
      <c r="B28" s="22" t="s">
        <v>56</v>
      </c>
      <c r="C28" s="23" t="s">
        <v>57</v>
      </c>
      <c r="D28" s="24">
        <f>Tabla1311192737455361697785931011091171251331411491331571651731811891571651731972052132212292372452532612692772852933013093173253333534735536337137911[[#This Row],[STOCK]]</f>
        <v>144</v>
      </c>
      <c r="E28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113</v>
      </c>
      <c r="F28" s="26"/>
      <c r="G28" s="23"/>
      <c r="H28" s="27"/>
      <c r="I28" s="23">
        <v>5</v>
      </c>
      <c r="J28" s="23"/>
      <c r="K28" s="23"/>
      <c r="L28" s="23"/>
      <c r="M28" s="23"/>
      <c r="N28" s="23"/>
      <c r="O28" s="23">
        <v>26</v>
      </c>
      <c r="P28" s="23"/>
      <c r="Q28" s="23"/>
      <c r="R28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31</v>
      </c>
    </row>
    <row r="29" spans="1:22" x14ac:dyDescent="0.2">
      <c r="B29" s="29" t="s">
        <v>58</v>
      </c>
      <c r="C29" s="30" t="s">
        <v>59</v>
      </c>
      <c r="D29" s="31">
        <f>Tabla1311192737455361697785931011091171251331411491331571651731811891571651731972052132212292372452532612692772852933013093173253333534735536337137911[[#This Row],[STOCK]]</f>
        <v>12</v>
      </c>
      <c r="E29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24</v>
      </c>
      <c r="F29" s="33"/>
      <c r="G29" s="30">
        <v>3</v>
      </c>
      <c r="H29" s="34"/>
      <c r="I29" s="30"/>
      <c r="J29" s="30"/>
      <c r="K29" s="30">
        <v>9</v>
      </c>
      <c r="L29" s="30">
        <v>10</v>
      </c>
      <c r="M29" s="30"/>
      <c r="N29" s="30">
        <v>7</v>
      </c>
      <c r="O29" s="30">
        <v>17</v>
      </c>
      <c r="P29" s="30">
        <v>24</v>
      </c>
      <c r="Q29" s="30"/>
      <c r="R29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29</v>
      </c>
    </row>
    <row r="30" spans="1:22" x14ac:dyDescent="0.2">
      <c r="B30" s="22" t="s">
        <v>60</v>
      </c>
      <c r="C30" s="23" t="s">
        <v>61</v>
      </c>
      <c r="D30" s="24">
        <f>Tabla1311192737455361697785931011091171251331411491331571651731811891571651731972052132212292372452532612692772852933013093173253333534735536337137911[[#This Row],[STOCK]]</f>
        <v>22</v>
      </c>
      <c r="E30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17</v>
      </c>
      <c r="F30" s="26"/>
      <c r="G30" s="23">
        <v>5</v>
      </c>
      <c r="H30" s="27"/>
      <c r="I30" s="23"/>
      <c r="J30" s="23"/>
      <c r="K30" s="23"/>
      <c r="L30" s="23"/>
      <c r="M30" s="23"/>
      <c r="N30" s="23"/>
      <c r="O30" s="23"/>
      <c r="P30" s="23"/>
      <c r="Q30" s="23"/>
      <c r="R30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5</v>
      </c>
    </row>
    <row r="31" spans="1:22" x14ac:dyDescent="0.2">
      <c r="B31" s="29" t="s">
        <v>62</v>
      </c>
      <c r="C31" s="30" t="s">
        <v>63</v>
      </c>
      <c r="D31" s="31">
        <f>Tabla1311192737455361697785931011091171251331411491331571651731811891571651731972052132212292372452532612692772852933013093173253333534735536337137911[[#This Row],[STOCK]]</f>
        <v>447</v>
      </c>
      <c r="E31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391</v>
      </c>
      <c r="F31" s="33"/>
      <c r="G31" s="30">
        <v>7</v>
      </c>
      <c r="H31" s="34"/>
      <c r="I31" s="30"/>
      <c r="J31" s="30"/>
      <c r="K31" s="30"/>
      <c r="L31" s="30"/>
      <c r="M31" s="30">
        <v>10</v>
      </c>
      <c r="N31" s="30"/>
      <c r="O31" s="30">
        <v>39</v>
      </c>
      <c r="P31" s="30"/>
      <c r="Q31" s="30"/>
      <c r="R31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56</v>
      </c>
    </row>
    <row r="32" spans="1:22" x14ac:dyDescent="0.2">
      <c r="B32" s="22" t="s">
        <v>64</v>
      </c>
      <c r="C32" s="23" t="s">
        <v>65</v>
      </c>
      <c r="D32" s="24">
        <f>Tabla1311192737455361697785931011091171251331411491331571651731811891571651731972052132212292372452532612692772852933013093173253333534735536337137911[[#This Row],[STOCK]]</f>
        <v>79</v>
      </c>
      <c r="E32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109</v>
      </c>
      <c r="F32" s="26"/>
      <c r="G32" s="23">
        <v>18</v>
      </c>
      <c r="H32" s="27"/>
      <c r="I32" s="23">
        <v>25</v>
      </c>
      <c r="J32" s="23"/>
      <c r="K32" s="23"/>
      <c r="L32" s="23">
        <v>35</v>
      </c>
      <c r="M32" s="23">
        <v>16</v>
      </c>
      <c r="N32" s="23">
        <v>56</v>
      </c>
      <c r="O32" s="23">
        <v>46</v>
      </c>
      <c r="P32" s="23">
        <v>44</v>
      </c>
      <c r="Q32" s="23"/>
      <c r="R32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105</v>
      </c>
    </row>
    <row r="33" spans="2:18" x14ac:dyDescent="0.2">
      <c r="B33" s="29" t="s">
        <v>66</v>
      </c>
      <c r="C33" s="30" t="s">
        <v>67</v>
      </c>
      <c r="D33" s="31">
        <f>Tabla1311192737455361697785931011091171251331411491331571651731811891571651731972052132212292372452532612692772852933013093173253333534735536337137911[[#This Row],[STOCK]]</f>
        <v>107</v>
      </c>
      <c r="E33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137</v>
      </c>
      <c r="F33" s="33"/>
      <c r="G33" s="30"/>
      <c r="H33" s="34"/>
      <c r="I33" s="30"/>
      <c r="J33" s="30"/>
      <c r="K33" s="30"/>
      <c r="L33" s="30">
        <v>65</v>
      </c>
      <c r="M33" s="30">
        <v>2</v>
      </c>
      <c r="N33" s="30"/>
      <c r="O33" s="30">
        <v>33</v>
      </c>
      <c r="P33" s="30"/>
      <c r="Q33" s="30"/>
      <c r="R33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35</v>
      </c>
    </row>
    <row r="34" spans="2:18" x14ac:dyDescent="0.2">
      <c r="B34" s="22" t="s">
        <v>68</v>
      </c>
      <c r="C34" s="23" t="s">
        <v>69</v>
      </c>
      <c r="D34" s="24">
        <f>Tabla1311192737455361697785931011091171251331411491331571651731811891571651731972052132212292372452532612692772852933013093173253333534735536337137911[[#This Row],[STOCK]]</f>
        <v>0</v>
      </c>
      <c r="E34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0</v>
      </c>
      <c r="F34" s="26"/>
      <c r="G34" s="23"/>
      <c r="H34" s="27"/>
      <c r="I34" s="23"/>
      <c r="J34" s="23"/>
      <c r="K34" s="23"/>
      <c r="L34" s="23"/>
      <c r="M34" s="23"/>
      <c r="N34" s="23"/>
      <c r="O34" s="23"/>
      <c r="P34" s="23"/>
      <c r="Q34" s="23"/>
      <c r="R34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0</v>
      </c>
    </row>
    <row r="35" spans="2:18" x14ac:dyDescent="0.2">
      <c r="B35" s="29" t="s">
        <v>70</v>
      </c>
      <c r="C35" s="30" t="s">
        <v>71</v>
      </c>
      <c r="D35" s="31">
        <f>Tabla1311192737455361697785931011091171251331411491331571651731811891571651731972052132212292372452532612692772852933013093173253333534735536337137911[[#This Row],[STOCK]]</f>
        <v>114</v>
      </c>
      <c r="E35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110</v>
      </c>
      <c r="F35" s="33"/>
      <c r="G35" s="30">
        <v>15</v>
      </c>
      <c r="H35" s="34">
        <v>49</v>
      </c>
      <c r="I35" s="30"/>
      <c r="J35" s="30"/>
      <c r="K35" s="30"/>
      <c r="L35" s="30"/>
      <c r="M35" s="30">
        <v>5</v>
      </c>
      <c r="N35" s="30"/>
      <c r="O35" s="30">
        <v>33</v>
      </c>
      <c r="P35" s="30"/>
      <c r="Q35" s="30"/>
      <c r="R35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53</v>
      </c>
    </row>
    <row r="36" spans="2:18" x14ac:dyDescent="0.2">
      <c r="B36" s="22" t="s">
        <v>72</v>
      </c>
      <c r="C36" s="23" t="s">
        <v>73</v>
      </c>
      <c r="D36" s="24">
        <f>Tabla1311192737455361697785931011091171251331411491331571651731811891571651731972052132212292372452532612692772852933013093173253333534735536337137911[[#This Row],[STOCK]]</f>
        <v>81</v>
      </c>
      <c r="E36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59</v>
      </c>
      <c r="F36" s="26"/>
      <c r="G36" s="23">
        <v>10</v>
      </c>
      <c r="H36" s="27"/>
      <c r="I36" s="23">
        <v>30</v>
      </c>
      <c r="J36" s="23"/>
      <c r="K36" s="23"/>
      <c r="L36" s="23">
        <v>32</v>
      </c>
      <c r="M36" s="23">
        <v>29</v>
      </c>
      <c r="N36" s="23">
        <v>24</v>
      </c>
      <c r="O36" s="23">
        <v>43</v>
      </c>
      <c r="P36" s="23">
        <v>34</v>
      </c>
      <c r="Q36" s="23"/>
      <c r="R36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112</v>
      </c>
    </row>
    <row r="37" spans="2:18" ht="12.75" customHeight="1" x14ac:dyDescent="0.2">
      <c r="B37" s="29" t="s">
        <v>74</v>
      </c>
      <c r="C37" s="30" t="s">
        <v>75</v>
      </c>
      <c r="D37" s="31">
        <f>Tabla1311192737455361697785931011091171251331411491331571651731811891571651731972052132212292372452532612692772852933013093173253333534735536337137911[[#This Row],[STOCK]]</f>
        <v>103</v>
      </c>
      <c r="E37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125</v>
      </c>
      <c r="F37" s="33"/>
      <c r="G37" s="30">
        <v>7</v>
      </c>
      <c r="H37" s="34"/>
      <c r="I37" s="30">
        <v>1</v>
      </c>
      <c r="J37" s="30"/>
      <c r="K37" s="30"/>
      <c r="L37" s="30">
        <v>53</v>
      </c>
      <c r="M37" s="30"/>
      <c r="N37" s="30"/>
      <c r="O37" s="30">
        <v>27</v>
      </c>
      <c r="P37" s="30">
        <v>4</v>
      </c>
      <c r="Q37" s="30"/>
      <c r="R37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35</v>
      </c>
    </row>
    <row r="38" spans="2:18" x14ac:dyDescent="0.2">
      <c r="B38" s="22" t="s">
        <v>76</v>
      </c>
      <c r="C38" s="23" t="s">
        <v>77</v>
      </c>
      <c r="D38" s="24">
        <f>Tabla1311192737455361697785931011091171251331411491331571651731811891571651731972052132212292372452532612692772852933013093173253333534735536337137911[[#This Row],[STOCK]]</f>
        <v>106</v>
      </c>
      <c r="E38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98</v>
      </c>
      <c r="F38" s="26"/>
      <c r="G38" s="23"/>
      <c r="H38" s="27"/>
      <c r="I38" s="23">
        <v>2</v>
      </c>
      <c r="J38" s="23"/>
      <c r="K38" s="23"/>
      <c r="L38" s="23"/>
      <c r="M38" s="23">
        <v>3</v>
      </c>
      <c r="N38" s="23"/>
      <c r="O38" s="23">
        <v>3</v>
      </c>
      <c r="P38" s="23"/>
      <c r="Q38" s="23"/>
      <c r="R38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8</v>
      </c>
    </row>
    <row r="39" spans="2:18" x14ac:dyDescent="0.2">
      <c r="B39" s="29" t="s">
        <v>78</v>
      </c>
      <c r="C39" s="30" t="s">
        <v>79</v>
      </c>
      <c r="D39" s="31">
        <f>Tabla1311192737455361697785931011091171251331411491331571651731811891571651731972052132212292372452532612692772852933013093173253333534735536337137911[[#This Row],[STOCK]]</f>
        <v>2</v>
      </c>
      <c r="E39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2</v>
      </c>
      <c r="F39" s="33"/>
      <c r="G39" s="30"/>
      <c r="H39" s="34"/>
      <c r="I39" s="30"/>
      <c r="J39" s="30"/>
      <c r="K39" s="30">
        <v>2</v>
      </c>
      <c r="L39" s="30">
        <v>15</v>
      </c>
      <c r="M39" s="30">
        <v>4</v>
      </c>
      <c r="N39" s="30"/>
      <c r="O39" s="30">
        <v>11</v>
      </c>
      <c r="P39" s="30">
        <v>2</v>
      </c>
      <c r="Q39" s="30"/>
      <c r="R39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17</v>
      </c>
    </row>
    <row r="40" spans="2:18" x14ac:dyDescent="0.2">
      <c r="B40" s="22" t="s">
        <v>80</v>
      </c>
      <c r="C40" s="23" t="s">
        <v>81</v>
      </c>
      <c r="D40" s="24">
        <f>Tabla1311192737455361697785931011091171251331411491331571651731811891571651731972052132212292372452532612692772852933013093173253333534735536337137911[[#This Row],[STOCK]]</f>
        <v>76</v>
      </c>
      <c r="E40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68</v>
      </c>
      <c r="F40" s="26"/>
      <c r="G40" s="23">
        <v>8</v>
      </c>
      <c r="H40" s="27"/>
      <c r="I40" s="23"/>
      <c r="J40" s="23"/>
      <c r="K40" s="23"/>
      <c r="L40" s="23"/>
      <c r="M40" s="23"/>
      <c r="N40" s="23"/>
      <c r="O40" s="23"/>
      <c r="P40" s="23"/>
      <c r="Q40" s="23"/>
      <c r="R40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8</v>
      </c>
    </row>
    <row r="41" spans="2:18" x14ac:dyDescent="0.2">
      <c r="B41" s="29" t="s">
        <v>82</v>
      </c>
      <c r="C41" s="30" t="s">
        <v>83</v>
      </c>
      <c r="D41" s="31">
        <f>Tabla1311192737455361697785931011091171251331411491331571651731811891571651731972052132212292372452532612692772852933013093173253333534735536337137911[[#This Row],[STOCK]]</f>
        <v>0</v>
      </c>
      <c r="E41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0</v>
      </c>
      <c r="F41" s="33"/>
      <c r="G41" s="30"/>
      <c r="H41" s="34"/>
      <c r="I41" s="30"/>
      <c r="J41" s="30"/>
      <c r="K41" s="30"/>
      <c r="L41" s="30"/>
      <c r="M41" s="30"/>
      <c r="N41" s="30"/>
      <c r="O41" s="30"/>
      <c r="P41" s="30"/>
      <c r="Q41" s="30"/>
      <c r="R41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0</v>
      </c>
    </row>
    <row r="42" spans="2:18" x14ac:dyDescent="0.2">
      <c r="B42" s="22" t="s">
        <v>84</v>
      </c>
      <c r="C42" s="23" t="s">
        <v>85</v>
      </c>
      <c r="D42" s="24">
        <f>Tabla1311192737455361697785931011091171251331411491331571651731811891571651731972052132212292372452532612692772852933013093173253333534735536337137911[[#This Row],[STOCK]]</f>
        <v>74</v>
      </c>
      <c r="E42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74</v>
      </c>
      <c r="F42" s="26"/>
      <c r="G42" s="23"/>
      <c r="H42" s="27"/>
      <c r="I42" s="23"/>
      <c r="J42" s="23"/>
      <c r="K42" s="23"/>
      <c r="L42" s="23"/>
      <c r="M42" s="23"/>
      <c r="N42" s="23"/>
      <c r="O42" s="23"/>
      <c r="P42" s="23"/>
      <c r="Q42" s="23"/>
      <c r="R42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0</v>
      </c>
    </row>
    <row r="43" spans="2:18" x14ac:dyDescent="0.2">
      <c r="B43" s="29" t="s">
        <v>86</v>
      </c>
      <c r="C43" s="30" t="s">
        <v>87</v>
      </c>
      <c r="D43" s="24">
        <f>Tabla1311192737455361697785931011091171251331411491331571651731811891571651731972052132212292372452532612692772852933013093173253333534735536337137911[[#This Row],[STOCK]]</f>
        <v>131</v>
      </c>
      <c r="E43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128</v>
      </c>
      <c r="F43" s="33"/>
      <c r="G43" s="30">
        <v>3</v>
      </c>
      <c r="H43" s="34"/>
      <c r="I43" s="30"/>
      <c r="J43" s="30"/>
      <c r="K43" s="30"/>
      <c r="L43" s="30"/>
      <c r="M43" s="30"/>
      <c r="N43" s="30"/>
      <c r="O43" s="30"/>
      <c r="P43" s="30"/>
      <c r="Q43" s="30"/>
      <c r="R43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3</v>
      </c>
    </row>
    <row r="44" spans="2:18" x14ac:dyDescent="0.2">
      <c r="B44" s="22" t="s">
        <v>88</v>
      </c>
      <c r="C44" s="23" t="s">
        <v>89</v>
      </c>
      <c r="D44" s="24">
        <f>Tabla1311192737455361697785931011091171251331411491331571651731811891571651731972052132212292372452532612692772852933013093173253333534735536337137911[[#This Row],[STOCK]]</f>
        <v>284</v>
      </c>
      <c r="E44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284</v>
      </c>
      <c r="F44" s="26"/>
      <c r="G44" s="23"/>
      <c r="H44" s="27"/>
      <c r="I44" s="23"/>
      <c r="J44" s="23"/>
      <c r="K44" s="23"/>
      <c r="L44" s="23"/>
      <c r="M44" s="23"/>
      <c r="N44" s="23"/>
      <c r="O44" s="23"/>
      <c r="P44" s="23"/>
      <c r="Q44" s="23"/>
      <c r="R44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0</v>
      </c>
    </row>
    <row r="45" spans="2:18" x14ac:dyDescent="0.2">
      <c r="B45" s="29" t="s">
        <v>90</v>
      </c>
      <c r="C45" s="30" t="s">
        <v>91</v>
      </c>
      <c r="D45" s="31">
        <f>Tabla1311192737455361697785931011091171251331411491331571651731811891571651731972052132212292372452532612692772852933013093173253333534735536337137911[[#This Row],[STOCK]]</f>
        <v>195</v>
      </c>
      <c r="E45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188</v>
      </c>
      <c r="F45" s="33"/>
      <c r="G45" s="30">
        <v>1</v>
      </c>
      <c r="H45" s="34"/>
      <c r="I45" s="30">
        <v>5</v>
      </c>
      <c r="J45" s="30"/>
      <c r="K45" s="30"/>
      <c r="L45" s="30"/>
      <c r="M45" s="30"/>
      <c r="N45" s="30"/>
      <c r="O45" s="30">
        <v>1</v>
      </c>
      <c r="P45" s="30"/>
      <c r="Q45" s="30"/>
      <c r="R45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7</v>
      </c>
    </row>
    <row r="46" spans="2:18" x14ac:dyDescent="0.2">
      <c r="B46" s="22" t="s">
        <v>92</v>
      </c>
      <c r="C46" s="23" t="s">
        <v>93</v>
      </c>
      <c r="D46" s="24">
        <f>Tabla1311192737455361697785931011091171251331411491331571651731811891571651731972052132212292372452532612692772852933013093173253333534735536337137911[[#This Row],[STOCK]]</f>
        <v>124</v>
      </c>
      <c r="E46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159</v>
      </c>
      <c r="F46" s="26"/>
      <c r="G46" s="23">
        <v>1</v>
      </c>
      <c r="H46" s="27"/>
      <c r="I46" s="23">
        <v>5</v>
      </c>
      <c r="J46" s="23"/>
      <c r="K46" s="23"/>
      <c r="L46" s="23"/>
      <c r="M46" s="23"/>
      <c r="N46" s="23">
        <v>28</v>
      </c>
      <c r="O46" s="23">
        <v>1</v>
      </c>
      <c r="P46" s="23">
        <v>14</v>
      </c>
      <c r="Q46" s="23"/>
      <c r="R46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7</v>
      </c>
    </row>
    <row r="47" spans="2:18" x14ac:dyDescent="0.2">
      <c r="B47" s="29" t="s">
        <v>94</v>
      </c>
      <c r="C47" s="30" t="s">
        <v>95</v>
      </c>
      <c r="D47" s="31">
        <f>Tabla1311192737455361697785931011091171251331411491331571651731811891571651731972052132212292372452532612692772852933013093173253333534735536337137911[[#This Row],[STOCK]]</f>
        <v>243</v>
      </c>
      <c r="E47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218</v>
      </c>
      <c r="F47" s="33"/>
      <c r="G47" s="30">
        <v>4</v>
      </c>
      <c r="H47" s="34"/>
      <c r="I47" s="30"/>
      <c r="J47" s="30"/>
      <c r="K47" s="30"/>
      <c r="L47" s="30"/>
      <c r="M47" s="30">
        <v>5</v>
      </c>
      <c r="N47" s="30"/>
      <c r="O47" s="30">
        <v>16</v>
      </c>
      <c r="P47" s="30"/>
      <c r="Q47" s="30"/>
      <c r="R47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25</v>
      </c>
    </row>
    <row r="48" spans="2:18" x14ac:dyDescent="0.2">
      <c r="B48" s="22" t="s">
        <v>96</v>
      </c>
      <c r="C48" s="23" t="s">
        <v>97</v>
      </c>
      <c r="D48" s="24">
        <f>Tabla1311192737455361697785931011091171251331411491331571651731811891571651731972052132212292372452532612692772852933013093173253333534735536337137911[[#This Row],[STOCK]]</f>
        <v>212</v>
      </c>
      <c r="E48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175</v>
      </c>
      <c r="F48" s="26"/>
      <c r="G48" s="23">
        <v>8</v>
      </c>
      <c r="H48" s="27"/>
      <c r="I48" s="23"/>
      <c r="J48" s="23"/>
      <c r="K48" s="23"/>
      <c r="L48" s="23"/>
      <c r="M48" s="23">
        <v>2</v>
      </c>
      <c r="N48" s="23"/>
      <c r="O48" s="23">
        <v>27</v>
      </c>
      <c r="P48" s="23"/>
      <c r="Q48" s="23"/>
      <c r="R48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37</v>
      </c>
    </row>
    <row r="49" spans="2:18" x14ac:dyDescent="0.2">
      <c r="B49" s="29" t="s">
        <v>98</v>
      </c>
      <c r="C49" s="30" t="s">
        <v>99</v>
      </c>
      <c r="D49" s="31">
        <f>Tabla1311192737455361697785931011091171251331411491331571651731811891571651731972052132212292372452532612692772852933013093173253333534735536337137911[[#This Row],[STOCK]]</f>
        <v>0</v>
      </c>
      <c r="E49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0</v>
      </c>
      <c r="F49" s="33"/>
      <c r="G49" s="30"/>
      <c r="H49" s="34"/>
      <c r="I49" s="30"/>
      <c r="J49" s="30"/>
      <c r="K49" s="30"/>
      <c r="L49" s="30"/>
      <c r="M49" s="30"/>
      <c r="N49" s="30"/>
      <c r="O49" s="30"/>
      <c r="P49" s="30"/>
      <c r="Q49" s="30"/>
      <c r="R49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0</v>
      </c>
    </row>
    <row r="50" spans="2:18" ht="13.5" customHeight="1" x14ac:dyDescent="0.2">
      <c r="B50" s="22" t="s">
        <v>100</v>
      </c>
      <c r="C50" s="23" t="s">
        <v>101</v>
      </c>
      <c r="D50" s="24">
        <f>Tabla1311192737455361697785931011091171251331411491331571651731811891571651731972052132212292372452532612692772852933013093173253333534735536337137911[[#This Row],[STOCK]]</f>
        <v>48</v>
      </c>
      <c r="E50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47</v>
      </c>
      <c r="F50" s="26"/>
      <c r="G50" s="23">
        <v>1</v>
      </c>
      <c r="H50" s="27"/>
      <c r="I50" s="23"/>
      <c r="J50" s="23"/>
      <c r="K50" s="23"/>
      <c r="L50" s="23"/>
      <c r="M50" s="23"/>
      <c r="N50" s="23"/>
      <c r="O50" s="23"/>
      <c r="P50" s="23"/>
      <c r="Q50" s="23"/>
      <c r="R50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1</v>
      </c>
    </row>
    <row r="51" spans="2:18" x14ac:dyDescent="0.2">
      <c r="B51" s="29" t="s">
        <v>102</v>
      </c>
      <c r="C51" s="30" t="s">
        <v>103</v>
      </c>
      <c r="D51" s="31">
        <f>Tabla1311192737455361697785931011091171251331411491331571651731811891571651731972052132212292372452532612692772852933013093173253333534735536337137911[[#This Row],[STOCK]]</f>
        <v>92</v>
      </c>
      <c r="E51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92</v>
      </c>
      <c r="F51" s="33"/>
      <c r="G51" s="30"/>
      <c r="H51" s="34"/>
      <c r="I51" s="30"/>
      <c r="J51" s="30"/>
      <c r="K51" s="30"/>
      <c r="L51" s="30"/>
      <c r="M51" s="30"/>
      <c r="N51" s="30"/>
      <c r="O51" s="30"/>
      <c r="P51" s="30"/>
      <c r="Q51" s="30"/>
      <c r="R51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0</v>
      </c>
    </row>
    <row r="52" spans="2:18" x14ac:dyDescent="0.2">
      <c r="B52" s="22" t="s">
        <v>104</v>
      </c>
      <c r="C52" s="23" t="s">
        <v>105</v>
      </c>
      <c r="D52" s="24">
        <f>Tabla1311192737455361697785931011091171251331411491331571651731811891571651731972052132212292372452532612692772852933013093173253333534735536337137911[[#This Row],[STOCK]]</f>
        <v>0</v>
      </c>
      <c r="E52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0</v>
      </c>
      <c r="F52" s="26"/>
      <c r="G52" s="23"/>
      <c r="H52" s="27"/>
      <c r="I52" s="23"/>
      <c r="J52" s="23"/>
      <c r="K52" s="23"/>
      <c r="L52" s="23"/>
      <c r="M52" s="23"/>
      <c r="N52" s="23"/>
      <c r="O52" s="23"/>
      <c r="P52" s="23"/>
      <c r="Q52" s="23"/>
      <c r="R52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0</v>
      </c>
    </row>
    <row r="53" spans="2:18" x14ac:dyDescent="0.2">
      <c r="B53" s="29" t="s">
        <v>106</v>
      </c>
      <c r="C53" s="30" t="s">
        <v>107</v>
      </c>
      <c r="D53" s="31">
        <f>Tabla1311192737455361697785931011091171251331411491331571651731811891571651731972052132212292372452532612692772852933013093173253333534735536337137911[[#This Row],[STOCK]]</f>
        <v>35</v>
      </c>
      <c r="E53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34</v>
      </c>
      <c r="F53" s="33"/>
      <c r="G53" s="30"/>
      <c r="H53" s="34"/>
      <c r="I53" s="30">
        <v>1</v>
      </c>
      <c r="J53" s="30"/>
      <c r="K53" s="30"/>
      <c r="L53" s="30"/>
      <c r="M53" s="30"/>
      <c r="N53" s="30"/>
      <c r="O53" s="30"/>
      <c r="P53" s="30"/>
      <c r="Q53" s="30"/>
      <c r="R53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1</v>
      </c>
    </row>
    <row r="54" spans="2:18" x14ac:dyDescent="0.2">
      <c r="B54" s="22" t="s">
        <v>108</v>
      </c>
      <c r="C54" s="23" t="s">
        <v>109</v>
      </c>
      <c r="D54" s="24">
        <f>Tabla1311192737455361697785931011091171251331411491331571651731811891571651731972052132212292372452532612692772852933013093173253333534735536337137911[[#This Row],[STOCK]]</f>
        <v>6</v>
      </c>
      <c r="E54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0</v>
      </c>
      <c r="F54" s="26"/>
      <c r="G54" s="23">
        <v>2</v>
      </c>
      <c r="H54" s="27"/>
      <c r="I54" s="23">
        <v>4</v>
      </c>
      <c r="J54" s="23"/>
      <c r="K54" s="23"/>
      <c r="L54" s="23"/>
      <c r="M54" s="23"/>
      <c r="N54" s="23"/>
      <c r="O54" s="23"/>
      <c r="P54" s="23"/>
      <c r="Q54" s="23"/>
      <c r="R54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6</v>
      </c>
    </row>
    <row r="55" spans="2:18" x14ac:dyDescent="0.2">
      <c r="B55" s="29" t="s">
        <v>110</v>
      </c>
      <c r="C55" s="30" t="s">
        <v>111</v>
      </c>
      <c r="D55" s="31">
        <f>Tabla1311192737455361697785931011091171251331411491331571651731811891571651731972052132212292372452532612692772852933013093173253333534735536337137911[[#This Row],[STOCK]]</f>
        <v>65</v>
      </c>
      <c r="E55" s="32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60</v>
      </c>
      <c r="F55" s="33"/>
      <c r="G55" s="30">
        <v>1</v>
      </c>
      <c r="H55" s="34"/>
      <c r="I55" s="30">
        <v>4</v>
      </c>
      <c r="J55" s="30"/>
      <c r="K55" s="30"/>
      <c r="L55" s="30"/>
      <c r="M55" s="30"/>
      <c r="N55" s="30"/>
      <c r="O55" s="30"/>
      <c r="P55" s="30"/>
      <c r="Q55" s="30"/>
      <c r="R55" s="35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5</v>
      </c>
    </row>
    <row r="56" spans="2:18" x14ac:dyDescent="0.2">
      <c r="B56" s="22" t="s">
        <v>112</v>
      </c>
      <c r="C56" s="23" t="s">
        <v>113</v>
      </c>
      <c r="D56" s="24">
        <f>Tabla1311192737455361697785931011091171251331411491331571651731811891571651731972052132212292372452532612692772852933013093173253333534735536337137911[[#This Row],[STOCK]]</f>
        <v>86</v>
      </c>
      <c r="E56" s="25">
        <f>Tabla131119273745536169778593101109117125133141149133157165173181189157165173197205213221229237245253261269277285293301309317325333353473553633713791119[[#This Row],[INVENTARIO INICIAL]]+Tabla131119273745536169778593101109117125133141149133157165173181189157165173197205213221229237245253261269277285293301309317325333353473553633713791119[[#This Row],[INGRESO LUNES]]-Tabla131119273745536169778593101109117125133141149133157165173181189157165173197205213221229237245253261269277285293301309317325333353473553633713791119[[#This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Row],[INGRESO MARTES]]-Tabla131119273745536169778593101109117125133141149133157165173181189157165173197205213221229237245253261269277285293301309317325333353473553633713791119[[#This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Row],[INGRESO MIERCOLES]]-Tabla131119273745536169778593101109117125133141149133157165173181189157165173197205213221229237245253261269277285293301309317325333353473553633713791119[[#This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Row],[INGRESO JUEVES]]-Tabla131119273745536169778593101109117125133141149133157165173181189157165173197205213221229237245253261269277285293301309317325333353473553633713791119[[#This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Row],[INGRESO VIERNES]]-Tabla131119273745536169778593101109117125133141149133157165173181189157165173197205213221229237245253261269277285293301309317325333353473553633713791119[[#This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 INGRESO SABADO]]-Tabla131119273745536169778593101109117125133141149133157165173181189157165173197205213221229237245253261269277285293301309317325333353473553633713791119[[#This Row],[VENTA SABADO]]</f>
        <v>86</v>
      </c>
      <c r="F56" s="26"/>
      <c r="G56" s="23"/>
      <c r="H56" s="27"/>
      <c r="I56" s="23"/>
      <c r="J56" s="23"/>
      <c r="K56" s="23"/>
      <c r="L56" s="23"/>
      <c r="M56" s="23"/>
      <c r="N56" s="23"/>
      <c r="O56" s="23"/>
      <c r="P56" s="23"/>
      <c r="Q56" s="23"/>
      <c r="R56" s="28">
        <f>Tabla131119273745536169778593101109117125133141149133157165173181189157165173197205213221229237245253261269277285293301309317325333353473553633713791119[[#This Row],[VENTA LUNES]]+Tabla131119273745536169778593101109117125133141149133157165173181189157165173197205213221229237245253261269277285293301309317325333353473553633713791119[[#This Row],[VENTA MARTES]]+Tabla131119273745536169778593101109117125133141149133157165173181189157165173197205213221229237245253261269277285293301309317325333353473553633713791119[[#This Row],[VENTA MIERCOLES]]+Tabla131119273745536169778593101109117125133141149133157165173181189157165173197205213221229237245253261269277285293301309317325333353473553633713791119[[#This Row],[VENTA JUEVES]]+Tabla131119273745536169778593101109117125133141149133157165173181189157165173197205213221229237245253261269277285293301309317325333353473553633713791119[[#This Row],[VENTA VIERNES]]+Tabla131119273745536169778593101109117125133141149133157165173181189157165173197205213221229237245253261269277285293301309317325333353473553633713791119[[#This Row],[VENTA SABADO]]</f>
        <v>0</v>
      </c>
    </row>
    <row r="58" spans="2:18" ht="38.25" x14ac:dyDescent="0.2">
      <c r="B58" s="17" t="s">
        <v>114</v>
      </c>
      <c r="C58" s="17" t="s">
        <v>5</v>
      </c>
      <c r="D58" s="17" t="s">
        <v>6</v>
      </c>
      <c r="E58" s="17" t="s">
        <v>7</v>
      </c>
      <c r="F58" s="17" t="s">
        <v>8</v>
      </c>
      <c r="G58" s="17" t="s">
        <v>51</v>
      </c>
      <c r="H58" s="17" t="s">
        <v>10</v>
      </c>
      <c r="I58" s="17" t="s">
        <v>11</v>
      </c>
      <c r="J58" s="17" t="s">
        <v>12</v>
      </c>
      <c r="K58" s="17" t="s">
        <v>13</v>
      </c>
      <c r="L58" s="17" t="s">
        <v>14</v>
      </c>
      <c r="M58" s="17" t="s">
        <v>15</v>
      </c>
      <c r="N58" s="17" t="s">
        <v>16</v>
      </c>
      <c r="O58" s="17" t="s">
        <v>17</v>
      </c>
      <c r="P58" s="17" t="s">
        <v>18</v>
      </c>
      <c r="Q58" s="17" t="s">
        <v>19</v>
      </c>
      <c r="R58" s="17" t="s">
        <v>20</v>
      </c>
    </row>
    <row r="59" spans="2:18" x14ac:dyDescent="0.2">
      <c r="B59" s="22" t="s">
        <v>115</v>
      </c>
      <c r="C59" s="23" t="s">
        <v>116</v>
      </c>
      <c r="D59" s="24">
        <f>Tabla134122028384654627078869410211011812613414215013415816617418219015816617419820621422223023824625426227027828629430231031832633434034835636437238012[[#This Row],[STOCK]]</f>
        <v>382</v>
      </c>
      <c r="E59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375</v>
      </c>
      <c r="F59" s="23"/>
      <c r="G59" s="24"/>
      <c r="H59" s="39"/>
      <c r="I59" s="40"/>
      <c r="J59" s="41"/>
      <c r="K59" s="39"/>
      <c r="L59" s="40"/>
      <c r="M59" s="41">
        <v>2</v>
      </c>
      <c r="N59" s="39"/>
      <c r="O59" s="40">
        <v>5</v>
      </c>
      <c r="P59" s="41"/>
      <c r="Q59" s="39"/>
      <c r="R59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7</v>
      </c>
    </row>
    <row r="60" spans="2:18" x14ac:dyDescent="0.2">
      <c r="B60" s="29" t="s">
        <v>117</v>
      </c>
      <c r="C60" s="30" t="s">
        <v>118</v>
      </c>
      <c r="D60" s="31">
        <f>Tabla134122028384654627078869410211011812613414215013415816617418219015816617419820621422223023824625426227027828629430231031832633434034835636437238012[[#This Row],[STOCK]]</f>
        <v>141</v>
      </c>
      <c r="E60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139</v>
      </c>
      <c r="F60" s="30"/>
      <c r="G60" s="31"/>
      <c r="H60" s="42"/>
      <c r="I60" s="43"/>
      <c r="J60" s="44"/>
      <c r="K60" s="42"/>
      <c r="L60" s="43"/>
      <c r="M60" s="44">
        <v>2</v>
      </c>
      <c r="N60" s="42"/>
      <c r="O60" s="43"/>
      <c r="P60" s="44"/>
      <c r="Q60" s="42"/>
      <c r="R60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2</v>
      </c>
    </row>
    <row r="61" spans="2:18" x14ac:dyDescent="0.2">
      <c r="B61" s="22" t="s">
        <v>119</v>
      </c>
      <c r="C61" s="23" t="s">
        <v>120</v>
      </c>
      <c r="D61" s="24">
        <f>Tabla134122028384654627078869410211011812613414215013415816617418219015816617419820621422223023824625426227027828629430231031832633434034835636437238012[[#This Row],[STOCK]]</f>
        <v>522</v>
      </c>
      <c r="E61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510</v>
      </c>
      <c r="F61" s="23"/>
      <c r="G61" s="24"/>
      <c r="H61" s="39"/>
      <c r="I61" s="40"/>
      <c r="J61" s="41"/>
      <c r="K61" s="39"/>
      <c r="L61" s="40"/>
      <c r="M61" s="41">
        <v>2</v>
      </c>
      <c r="N61" s="39"/>
      <c r="O61" s="40">
        <v>10</v>
      </c>
      <c r="P61" s="41"/>
      <c r="Q61" s="39"/>
      <c r="R61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12</v>
      </c>
    </row>
    <row r="62" spans="2:18" x14ac:dyDescent="0.2">
      <c r="B62" s="29" t="s">
        <v>121</v>
      </c>
      <c r="C62" s="30" t="s">
        <v>122</v>
      </c>
      <c r="D62" s="31">
        <f>Tabla134122028384654627078869410211011812613414215013415816617418219015816617419820621422223023824625426227027828629430231031832633434034835636437238012[[#This Row],[STOCK]]</f>
        <v>494</v>
      </c>
      <c r="E62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489</v>
      </c>
      <c r="F62" s="30"/>
      <c r="G62" s="31"/>
      <c r="H62" s="42"/>
      <c r="I62" s="43"/>
      <c r="J62" s="44"/>
      <c r="K62" s="42"/>
      <c r="L62" s="43"/>
      <c r="M62" s="44"/>
      <c r="N62" s="42"/>
      <c r="O62" s="43">
        <v>5</v>
      </c>
      <c r="P62" s="44"/>
      <c r="Q62" s="42"/>
      <c r="R62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5</v>
      </c>
    </row>
    <row r="63" spans="2:18" x14ac:dyDescent="0.2">
      <c r="B63" s="22" t="s">
        <v>123</v>
      </c>
      <c r="C63" s="23" t="s">
        <v>124</v>
      </c>
      <c r="D63" s="24">
        <f>Tabla134122028384654627078869410211011812613414215013415816617418219015816617419820621422223023824625426227027828629430231031832633434034835636437238012[[#This Row],[STOCK]]</f>
        <v>101</v>
      </c>
      <c r="E63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101</v>
      </c>
      <c r="F63" s="23"/>
      <c r="G63" s="24"/>
      <c r="H63" s="39"/>
      <c r="I63" s="40"/>
      <c r="J63" s="41"/>
      <c r="K63" s="39"/>
      <c r="L63" s="40"/>
      <c r="M63" s="41"/>
      <c r="N63" s="39"/>
      <c r="O63" s="40"/>
      <c r="P63" s="41"/>
      <c r="Q63" s="39"/>
      <c r="R63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64" spans="2:18" x14ac:dyDescent="0.2">
      <c r="B64" s="29" t="s">
        <v>125</v>
      </c>
      <c r="C64" s="30" t="s">
        <v>126</v>
      </c>
      <c r="D64" s="31">
        <f>Tabla134122028384654627078869410211011812613414215013415816617418219015816617419820621422223023824625426227027828629430231031832633434034835636437238012[[#This Row],[STOCK]]</f>
        <v>599</v>
      </c>
      <c r="E64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594</v>
      </c>
      <c r="F64" s="30"/>
      <c r="G64" s="31"/>
      <c r="H64" s="42"/>
      <c r="I64" s="43"/>
      <c r="J64" s="44"/>
      <c r="K64" s="42"/>
      <c r="L64" s="43"/>
      <c r="M64" s="44"/>
      <c r="N64" s="42"/>
      <c r="O64" s="43">
        <v>5</v>
      </c>
      <c r="P64" s="44"/>
      <c r="Q64" s="42"/>
      <c r="R64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5</v>
      </c>
    </row>
    <row r="65" spans="2:18" x14ac:dyDescent="0.2">
      <c r="B65" s="22" t="s">
        <v>127</v>
      </c>
      <c r="C65" s="23" t="s">
        <v>128</v>
      </c>
      <c r="D65" s="24">
        <f>Tabla134122028384654627078869410211011812613414215013415816617418219015816617419820621422223023824625426227027828629430231031832633434034835636437238012[[#This Row],[STOCK]]</f>
        <v>666</v>
      </c>
      <c r="E65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666</v>
      </c>
      <c r="F65" s="23"/>
      <c r="G65" s="24"/>
      <c r="H65" s="39"/>
      <c r="I65" s="40"/>
      <c r="J65" s="41"/>
      <c r="K65" s="39"/>
      <c r="L65" s="40"/>
      <c r="M65" s="41"/>
      <c r="N65" s="39"/>
      <c r="O65" s="40"/>
      <c r="P65" s="41"/>
      <c r="Q65" s="39"/>
      <c r="R65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66" spans="2:18" x14ac:dyDescent="0.2">
      <c r="B66" s="29" t="s">
        <v>129</v>
      </c>
      <c r="C66" s="30" t="s">
        <v>130</v>
      </c>
      <c r="D66" s="31">
        <f>Tabla134122028384654627078869410211011812613414215013415816617418219015816617419820621422223023824625426227027828629430231031832633434034835636437238012[[#This Row],[STOCK]]</f>
        <v>275</v>
      </c>
      <c r="E66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275</v>
      </c>
      <c r="F66" s="30"/>
      <c r="G66" s="31"/>
      <c r="H66" s="42"/>
      <c r="I66" s="43"/>
      <c r="J66" s="44"/>
      <c r="K66" s="42"/>
      <c r="L66" s="43"/>
      <c r="M66" s="44"/>
      <c r="N66" s="42"/>
      <c r="O66" s="43"/>
      <c r="P66" s="44"/>
      <c r="Q66" s="42"/>
      <c r="R66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67" spans="2:18" x14ac:dyDescent="0.2">
      <c r="B67" s="22" t="s">
        <v>131</v>
      </c>
      <c r="C67" s="23" t="s">
        <v>132</v>
      </c>
      <c r="D67" s="24">
        <f>Tabla134122028384654627078869410211011812613414215013415816617418219015816617419820621422223023824625426227027828629430231031832633434034835636437238012[[#This Row],[STOCK]]</f>
        <v>0</v>
      </c>
      <c r="E67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0</v>
      </c>
      <c r="F67" s="23"/>
      <c r="G67" s="24"/>
      <c r="H67" s="39"/>
      <c r="I67" s="40"/>
      <c r="J67" s="41"/>
      <c r="K67" s="39"/>
      <c r="L67" s="40"/>
      <c r="M67" s="41"/>
      <c r="N67" s="39"/>
      <c r="O67" s="40"/>
      <c r="P67" s="41"/>
      <c r="Q67" s="39"/>
      <c r="R67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68" spans="2:18" x14ac:dyDescent="0.2">
      <c r="B68" s="29" t="s">
        <v>133</v>
      </c>
      <c r="C68" s="30" t="s">
        <v>134</v>
      </c>
      <c r="D68" s="31">
        <f>Tabla134122028384654627078869410211011812613414215013415816617418219015816617419820621422223023824625426227027828629430231031832633434034835636437238012[[#This Row],[STOCK]]</f>
        <v>0</v>
      </c>
      <c r="E68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0</v>
      </c>
      <c r="F68" s="30"/>
      <c r="G68" s="31"/>
      <c r="H68" s="42"/>
      <c r="I68" s="43"/>
      <c r="J68" s="44"/>
      <c r="K68" s="42"/>
      <c r="L68" s="43"/>
      <c r="M68" s="44"/>
      <c r="N68" s="42"/>
      <c r="O68" s="43"/>
      <c r="P68" s="44"/>
      <c r="Q68" s="42"/>
      <c r="R68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69" spans="2:18" s="45" customFormat="1" x14ac:dyDescent="0.2">
      <c r="B69" s="22" t="s">
        <v>135</v>
      </c>
      <c r="C69" s="23" t="s">
        <v>136</v>
      </c>
      <c r="D69" s="24">
        <f>Tabla134122028384654627078869410211011812613414215013415816617418219015816617419820621422223023824625426227027828629430231031832633434034835636437238012[[#This Row],[STOCK]]</f>
        <v>0</v>
      </c>
      <c r="E69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0</v>
      </c>
      <c r="F69" s="23"/>
      <c r="G69" s="24"/>
      <c r="H69" s="39"/>
      <c r="I69" s="40"/>
      <c r="J69" s="41"/>
      <c r="K69" s="39"/>
      <c r="L69" s="40"/>
      <c r="M69" s="41"/>
      <c r="N69" s="39"/>
      <c r="O69" s="40"/>
      <c r="P69" s="41"/>
      <c r="Q69" s="39"/>
      <c r="R69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70" spans="2:18" x14ac:dyDescent="0.2">
      <c r="B70" s="29" t="s">
        <v>137</v>
      </c>
      <c r="C70" s="30" t="s">
        <v>138</v>
      </c>
      <c r="D70" s="31">
        <f>Tabla134122028384654627078869410211011812613414215013415816617418219015816617419820621422223023824625426227027828629430231031832633434034835636437238012[[#This Row],[STOCK]]</f>
        <v>0</v>
      </c>
      <c r="E70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0</v>
      </c>
      <c r="F70" s="30"/>
      <c r="G70" s="31"/>
      <c r="H70" s="42"/>
      <c r="I70" s="43"/>
      <c r="J70" s="44"/>
      <c r="K70" s="42"/>
      <c r="L70" s="43"/>
      <c r="M70" s="44"/>
      <c r="N70" s="42"/>
      <c r="O70" s="43"/>
      <c r="P70" s="44"/>
      <c r="Q70" s="42"/>
      <c r="R70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71" spans="2:18" x14ac:dyDescent="0.2">
      <c r="B71" s="22" t="s">
        <v>139</v>
      </c>
      <c r="C71" s="23" t="s">
        <v>140</v>
      </c>
      <c r="D71" s="24">
        <f>Tabla134122028384654627078869410211011812613414215013415816617418219015816617419820621422223023824625426227027828629430231031832633434034835636437238012[[#This Row],[STOCK]]</f>
        <v>474</v>
      </c>
      <c r="E71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469</v>
      </c>
      <c r="F71" s="23"/>
      <c r="G71" s="24"/>
      <c r="H71" s="39"/>
      <c r="I71" s="40"/>
      <c r="J71" s="41"/>
      <c r="K71" s="39"/>
      <c r="L71" s="40"/>
      <c r="M71" s="41"/>
      <c r="N71" s="39"/>
      <c r="O71" s="40">
        <v>5</v>
      </c>
      <c r="P71" s="41"/>
      <c r="Q71" s="39"/>
      <c r="R71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5</v>
      </c>
    </row>
    <row r="72" spans="2:18" x14ac:dyDescent="0.2">
      <c r="B72" s="29" t="s">
        <v>141</v>
      </c>
      <c r="C72" s="30" t="s">
        <v>142</v>
      </c>
      <c r="D72" s="31">
        <f>Tabla134122028384654627078869410211011812613414215013415816617418219015816617419820621422223023824625426227027828629430231031832633434034835636437238012[[#This Row],[STOCK]]</f>
        <v>232</v>
      </c>
      <c r="E72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227</v>
      </c>
      <c r="F72" s="30"/>
      <c r="G72" s="31"/>
      <c r="H72" s="42"/>
      <c r="I72" s="43"/>
      <c r="J72" s="44"/>
      <c r="K72" s="42"/>
      <c r="L72" s="43"/>
      <c r="M72" s="44"/>
      <c r="N72" s="42"/>
      <c r="O72" s="43">
        <v>5</v>
      </c>
      <c r="P72" s="44"/>
      <c r="Q72" s="42"/>
      <c r="R72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5</v>
      </c>
    </row>
    <row r="73" spans="2:18" x14ac:dyDescent="0.2">
      <c r="B73" s="22" t="s">
        <v>143</v>
      </c>
      <c r="C73" s="23" t="s">
        <v>144</v>
      </c>
      <c r="D73" s="24">
        <f>Tabla134122028384654627078869410211011812613414215013415816617418219015816617419820621422223023824625426227027828629430231031832633434034835636437238012[[#This Row],[STOCK]]</f>
        <v>540</v>
      </c>
      <c r="E73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540</v>
      </c>
      <c r="F73" s="23"/>
      <c r="G73" s="24"/>
      <c r="H73" s="39"/>
      <c r="I73" s="40"/>
      <c r="J73" s="41"/>
      <c r="K73" s="39"/>
      <c r="L73" s="40"/>
      <c r="M73" s="41"/>
      <c r="N73" s="39"/>
      <c r="O73" s="40"/>
      <c r="P73" s="41"/>
      <c r="Q73" s="39"/>
      <c r="R73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74" spans="2:18" x14ac:dyDescent="0.2">
      <c r="B74" s="29" t="s">
        <v>145</v>
      </c>
      <c r="C74" s="30" t="s">
        <v>146</v>
      </c>
      <c r="D74" s="31">
        <f>Tabla134122028384654627078869410211011812613414215013415816617418219015816617419820621422223023824625426227027828629430231031832633434034835636437238012[[#This Row],[STOCK]]</f>
        <v>820</v>
      </c>
      <c r="E74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808</v>
      </c>
      <c r="F74" s="30"/>
      <c r="G74" s="31"/>
      <c r="H74" s="42"/>
      <c r="I74" s="43"/>
      <c r="J74" s="44"/>
      <c r="K74" s="42"/>
      <c r="L74" s="43"/>
      <c r="M74" s="44">
        <v>2</v>
      </c>
      <c r="N74" s="42"/>
      <c r="O74" s="43">
        <v>10</v>
      </c>
      <c r="P74" s="44"/>
      <c r="Q74" s="42"/>
      <c r="R74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12</v>
      </c>
    </row>
    <row r="75" spans="2:18" x14ac:dyDescent="0.2">
      <c r="B75" s="22" t="s">
        <v>147</v>
      </c>
      <c r="C75" s="23" t="s">
        <v>148</v>
      </c>
      <c r="D75" s="24">
        <f>Tabla134122028384654627078869410211011812613414215013415816617418219015816617419820621422223023824625426227027828629430231031832633434034835636437238012[[#This Row],[STOCK]]</f>
        <v>183</v>
      </c>
      <c r="E75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176</v>
      </c>
      <c r="F75" s="23"/>
      <c r="G75" s="24"/>
      <c r="H75" s="39"/>
      <c r="I75" s="40"/>
      <c r="J75" s="41"/>
      <c r="K75" s="39"/>
      <c r="L75" s="40"/>
      <c r="M75" s="41">
        <v>2</v>
      </c>
      <c r="N75" s="39"/>
      <c r="O75" s="40">
        <v>5</v>
      </c>
      <c r="P75" s="41"/>
      <c r="Q75" s="39"/>
      <c r="R75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7</v>
      </c>
    </row>
    <row r="76" spans="2:18" x14ac:dyDescent="0.2">
      <c r="B76" s="29" t="s">
        <v>149</v>
      </c>
      <c r="C76" s="30" t="s">
        <v>150</v>
      </c>
      <c r="D76" s="31">
        <f>Tabla134122028384654627078869410211011812613414215013415816617418219015816617419820621422223023824625426227027828629430231031832633434034835636437238012[[#This Row],[STOCK]]</f>
        <v>73</v>
      </c>
      <c r="E76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71</v>
      </c>
      <c r="F76" s="30"/>
      <c r="G76" s="31"/>
      <c r="H76" s="42"/>
      <c r="I76" s="43"/>
      <c r="J76" s="44"/>
      <c r="K76" s="42"/>
      <c r="L76" s="43"/>
      <c r="M76" s="44">
        <v>2</v>
      </c>
      <c r="N76" s="42"/>
      <c r="O76" s="43"/>
      <c r="P76" s="44"/>
      <c r="Q76" s="42"/>
      <c r="R76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2</v>
      </c>
    </row>
    <row r="77" spans="2:18" x14ac:dyDescent="0.2">
      <c r="B77" s="22" t="s">
        <v>151</v>
      </c>
      <c r="C77" s="23" t="s">
        <v>152</v>
      </c>
      <c r="D77" s="24">
        <f>Tabla134122028384654627078869410211011812613414215013415816617418219015816617419820621422223023824625426227027828629430231031832633434034835636437238012[[#This Row],[STOCK]]</f>
        <v>498</v>
      </c>
      <c r="E77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498</v>
      </c>
      <c r="F77" s="23"/>
      <c r="G77" s="24"/>
      <c r="H77" s="39"/>
      <c r="I77" s="40"/>
      <c r="J77" s="41"/>
      <c r="K77" s="39"/>
      <c r="L77" s="40"/>
      <c r="M77" s="41"/>
      <c r="N77" s="39"/>
      <c r="O77" s="40"/>
      <c r="P77" s="41"/>
      <c r="Q77" s="39"/>
      <c r="R77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78" spans="2:18" x14ac:dyDescent="0.2">
      <c r="B78" s="29" t="s">
        <v>153</v>
      </c>
      <c r="C78" s="30" t="s">
        <v>154</v>
      </c>
      <c r="D78" s="31">
        <f>Tabla134122028384654627078869410211011812613414215013415816617418219015816617419820621422223023824625426227027828629430231031832633434034835636437238012[[#This Row],[STOCK]]</f>
        <v>426</v>
      </c>
      <c r="E78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426</v>
      </c>
      <c r="F78" s="30"/>
      <c r="G78" s="31"/>
      <c r="H78" s="42"/>
      <c r="I78" s="43"/>
      <c r="J78" s="44"/>
      <c r="K78" s="42"/>
      <c r="L78" s="43"/>
      <c r="M78" s="44"/>
      <c r="N78" s="42"/>
      <c r="O78" s="43"/>
      <c r="P78" s="44"/>
      <c r="Q78" s="42"/>
      <c r="R78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79" spans="2:18" x14ac:dyDescent="0.2">
      <c r="B79" s="22" t="s">
        <v>155</v>
      </c>
      <c r="C79" s="23" t="s">
        <v>156</v>
      </c>
      <c r="D79" s="24">
        <f>Tabla134122028384654627078869410211011812613414215013415816617418219015816617419820621422223023824625426227027828629430231031832633434034835636437238012[[#This Row],[STOCK]]</f>
        <v>137</v>
      </c>
      <c r="E79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137</v>
      </c>
      <c r="F79" s="23"/>
      <c r="G79" s="24"/>
      <c r="H79" s="39"/>
      <c r="I79" s="40"/>
      <c r="J79" s="41"/>
      <c r="K79" s="39"/>
      <c r="L79" s="40"/>
      <c r="M79" s="41"/>
      <c r="N79" s="39"/>
      <c r="O79" s="40"/>
      <c r="P79" s="41"/>
      <c r="Q79" s="39"/>
      <c r="R79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80" spans="2:18" x14ac:dyDescent="0.2">
      <c r="B80" s="29" t="s">
        <v>157</v>
      </c>
      <c r="C80" s="30" t="s">
        <v>158</v>
      </c>
      <c r="D80" s="31">
        <f>Tabla134122028384654627078869410211011812613414215013415816617418219015816617419820621422223023824625426227027828629430231031832633434034835636437238012[[#This Row],[STOCK]]</f>
        <v>782</v>
      </c>
      <c r="E80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782</v>
      </c>
      <c r="F80" s="30"/>
      <c r="G80" s="31"/>
      <c r="H80" s="42"/>
      <c r="I80" s="43"/>
      <c r="J80" s="44"/>
      <c r="K80" s="42"/>
      <c r="L80" s="43"/>
      <c r="M80" s="44"/>
      <c r="N80" s="42"/>
      <c r="O80" s="43"/>
      <c r="P80" s="44"/>
      <c r="Q80" s="42"/>
      <c r="R80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81" spans="2:18" s="53" customFormat="1" x14ac:dyDescent="0.2">
      <c r="B81" s="46" t="s">
        <v>159</v>
      </c>
      <c r="C81" s="47" t="s">
        <v>160</v>
      </c>
      <c r="D81" s="48">
        <f>Tabla134122028384654627078869410211011812613414215013415816617418219015816617419820621422223023824625426227027828629430231031832633434034835636437238012[[#This Row],[STOCK]]</f>
        <v>259</v>
      </c>
      <c r="E81" s="49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256</v>
      </c>
      <c r="F81" s="47"/>
      <c r="G81" s="48"/>
      <c r="H81" s="50"/>
      <c r="I81" s="51"/>
      <c r="J81" s="52"/>
      <c r="K81" s="50"/>
      <c r="L81" s="51"/>
      <c r="M81" s="52"/>
      <c r="N81" s="50"/>
      <c r="O81" s="51">
        <v>3</v>
      </c>
      <c r="P81" s="52"/>
      <c r="Q81" s="50"/>
      <c r="R81" s="47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3</v>
      </c>
    </row>
    <row r="82" spans="2:18" x14ac:dyDescent="0.2">
      <c r="B82" s="29" t="s">
        <v>161</v>
      </c>
      <c r="C82" s="30" t="s">
        <v>162</v>
      </c>
      <c r="D82" s="31">
        <f>Tabla134122028384654627078869410211011812613414215013415816617418219015816617419820621422223023824625426227027828629430231031832633434034835636437238012[[#This Row],[STOCK]]</f>
        <v>505</v>
      </c>
      <c r="E82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505</v>
      </c>
      <c r="F82" s="30"/>
      <c r="G82" s="31"/>
      <c r="H82" s="42"/>
      <c r="I82" s="43"/>
      <c r="J82" s="44"/>
      <c r="K82" s="42"/>
      <c r="L82" s="43"/>
      <c r="M82" s="44"/>
      <c r="N82" s="42"/>
      <c r="O82" s="43"/>
      <c r="P82" s="44"/>
      <c r="Q82" s="42"/>
      <c r="R82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83" spans="2:18" x14ac:dyDescent="0.2">
      <c r="B83" s="22" t="s">
        <v>163</v>
      </c>
      <c r="C83" s="23" t="s">
        <v>164</v>
      </c>
      <c r="D83" s="24">
        <f>Tabla134122028384654627078869410211011812613414215013415816617418219015816617419820621422223023824625426227027828629430231031832633434034835636437238012[[#This Row],[STOCK]]</f>
        <v>233</v>
      </c>
      <c r="E83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228</v>
      </c>
      <c r="F83" s="23"/>
      <c r="G83" s="24"/>
      <c r="H83" s="39"/>
      <c r="I83" s="40"/>
      <c r="J83" s="41"/>
      <c r="K83" s="39"/>
      <c r="L83" s="40"/>
      <c r="M83" s="41">
        <v>2</v>
      </c>
      <c r="N83" s="39"/>
      <c r="O83" s="40">
        <v>3</v>
      </c>
      <c r="P83" s="41"/>
      <c r="Q83" s="39"/>
      <c r="R83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5</v>
      </c>
    </row>
    <row r="84" spans="2:18" x14ac:dyDescent="0.2">
      <c r="B84" s="29" t="s">
        <v>165</v>
      </c>
      <c r="C84" s="30" t="s">
        <v>166</v>
      </c>
      <c r="D84" s="31">
        <f>Tabla134122028384654627078869410211011812613414215013415816617418219015816617419820621422223023824625426227027828629430231031832633434034835636437238012[[#This Row],[STOCK]]</f>
        <v>270</v>
      </c>
      <c r="E84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268</v>
      </c>
      <c r="F84" s="30"/>
      <c r="G84" s="31"/>
      <c r="H84" s="42"/>
      <c r="I84" s="43"/>
      <c r="J84" s="44"/>
      <c r="K84" s="42"/>
      <c r="L84" s="43"/>
      <c r="M84" s="44">
        <v>2</v>
      </c>
      <c r="N84" s="42"/>
      <c r="O84" s="43"/>
      <c r="P84" s="44"/>
      <c r="Q84" s="42"/>
      <c r="R84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2</v>
      </c>
    </row>
    <row r="85" spans="2:18" x14ac:dyDescent="0.2">
      <c r="B85" s="22" t="s">
        <v>167</v>
      </c>
      <c r="C85" s="23" t="s">
        <v>168</v>
      </c>
      <c r="D85" s="24">
        <f>Tabla134122028384654627078869410211011812613414215013415816617418219015816617419820621422223023824625426227027828629430231031832633434034835636437238012[[#This Row],[STOCK]]</f>
        <v>17</v>
      </c>
      <c r="E85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17</v>
      </c>
      <c r="F85" s="23"/>
      <c r="G85" s="24"/>
      <c r="H85" s="39"/>
      <c r="I85" s="40"/>
      <c r="J85" s="41"/>
      <c r="K85" s="39"/>
      <c r="L85" s="40"/>
      <c r="M85" s="41"/>
      <c r="N85" s="39"/>
      <c r="O85" s="40"/>
      <c r="P85" s="41"/>
      <c r="Q85" s="39"/>
      <c r="R85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86" spans="2:18" x14ac:dyDescent="0.2">
      <c r="B86" s="29" t="s">
        <v>169</v>
      </c>
      <c r="C86" s="30" t="s">
        <v>170</v>
      </c>
      <c r="D86" s="31">
        <f>Tabla134122028384654627078869410211011812613414215013415816617418219015816617419820621422223023824625426227027828629430231031832633434034835636437238012[[#This Row],[STOCK]]</f>
        <v>293</v>
      </c>
      <c r="E86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291</v>
      </c>
      <c r="F86" s="30"/>
      <c r="G86" s="31"/>
      <c r="H86" s="42"/>
      <c r="I86" s="43"/>
      <c r="J86" s="44"/>
      <c r="K86" s="42"/>
      <c r="L86" s="43"/>
      <c r="M86" s="44">
        <v>2</v>
      </c>
      <c r="N86" s="42"/>
      <c r="O86" s="43"/>
      <c r="P86" s="44"/>
      <c r="Q86" s="42"/>
      <c r="R86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2</v>
      </c>
    </row>
    <row r="87" spans="2:18" x14ac:dyDescent="0.2">
      <c r="B87" s="22" t="s">
        <v>171</v>
      </c>
      <c r="C87" s="23" t="s">
        <v>172</v>
      </c>
      <c r="D87" s="24">
        <f>Tabla134122028384654627078869410211011812613414215013415816617418219015816617419820621422223023824625426227027828629430231031832633434034835636437238012[[#This Row],[STOCK]]</f>
        <v>81</v>
      </c>
      <c r="E87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79</v>
      </c>
      <c r="F87" s="23"/>
      <c r="G87" s="24"/>
      <c r="H87" s="39"/>
      <c r="I87" s="40"/>
      <c r="J87" s="41"/>
      <c r="K87" s="39"/>
      <c r="L87" s="40"/>
      <c r="M87" s="41"/>
      <c r="N87" s="39"/>
      <c r="O87" s="40">
        <v>2</v>
      </c>
      <c r="P87" s="41"/>
      <c r="Q87" s="39"/>
      <c r="R87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2</v>
      </c>
    </row>
    <row r="88" spans="2:18" x14ac:dyDescent="0.2">
      <c r="B88" s="29" t="s">
        <v>173</v>
      </c>
      <c r="C88" s="30" t="s">
        <v>174</v>
      </c>
      <c r="D88" s="31">
        <f>Tabla134122028384654627078869410211011812613414215013415816617418219015816617419820621422223023824625426227027828629430231031832633434034835636437238012[[#This Row],[STOCK]]</f>
        <v>377</v>
      </c>
      <c r="E88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377</v>
      </c>
      <c r="F88" s="30"/>
      <c r="G88" s="31"/>
      <c r="H88" s="42"/>
      <c r="I88" s="43"/>
      <c r="J88" s="44"/>
      <c r="K88" s="42"/>
      <c r="L88" s="43"/>
      <c r="M88" s="44"/>
      <c r="N88" s="42"/>
      <c r="O88" s="43"/>
      <c r="P88" s="44"/>
      <c r="Q88" s="42"/>
      <c r="R88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89" spans="2:18" x14ac:dyDescent="0.2">
      <c r="B89" s="22" t="s">
        <v>175</v>
      </c>
      <c r="C89" s="23" t="s">
        <v>176</v>
      </c>
      <c r="D89" s="24">
        <f>Tabla134122028384654627078869410211011812613414215013415816617418219015816617419820621422223023824625426227027828629430231031832633434034835636437238012[[#This Row],[STOCK]]</f>
        <v>53</v>
      </c>
      <c r="E89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50</v>
      </c>
      <c r="F89" s="23"/>
      <c r="G89" s="24"/>
      <c r="H89" s="39"/>
      <c r="I89" s="40"/>
      <c r="J89" s="41"/>
      <c r="K89" s="39"/>
      <c r="L89" s="40"/>
      <c r="M89" s="41"/>
      <c r="N89" s="39"/>
      <c r="O89" s="40">
        <v>3</v>
      </c>
      <c r="P89" s="41"/>
      <c r="Q89" s="39"/>
      <c r="R89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3</v>
      </c>
    </row>
    <row r="90" spans="2:18" x14ac:dyDescent="0.2">
      <c r="B90" s="29" t="s">
        <v>177</v>
      </c>
      <c r="C90" s="30" t="s">
        <v>178</v>
      </c>
      <c r="D90" s="31">
        <f>Tabla134122028384654627078869410211011812613414215013415816617418219015816617419820621422223023824625426227027828629430231031832633434034835636437238012[[#This Row],[STOCK]]</f>
        <v>351</v>
      </c>
      <c r="E90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349</v>
      </c>
      <c r="F90" s="30"/>
      <c r="G90" s="31"/>
      <c r="H90" s="42"/>
      <c r="I90" s="43"/>
      <c r="J90" s="44"/>
      <c r="K90" s="42"/>
      <c r="L90" s="43"/>
      <c r="M90" s="44">
        <v>2</v>
      </c>
      <c r="N90" s="42"/>
      <c r="O90" s="43"/>
      <c r="P90" s="44"/>
      <c r="Q90" s="42"/>
      <c r="R90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2</v>
      </c>
    </row>
    <row r="91" spans="2:18" x14ac:dyDescent="0.2">
      <c r="B91" s="22" t="s">
        <v>179</v>
      </c>
      <c r="C91" s="23" t="s">
        <v>180</v>
      </c>
      <c r="D91" s="24">
        <f>Tabla134122028384654627078869410211011812613414215013415816617418219015816617419820621422223023824625426227027828629430231031832633434034835636437238012[[#This Row],[STOCK]]</f>
        <v>41</v>
      </c>
      <c r="E91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39</v>
      </c>
      <c r="F91" s="23"/>
      <c r="G91" s="24"/>
      <c r="H91" s="39"/>
      <c r="I91" s="40"/>
      <c r="J91" s="41"/>
      <c r="K91" s="39"/>
      <c r="L91" s="40"/>
      <c r="M91" s="41">
        <v>2</v>
      </c>
      <c r="N91" s="39"/>
      <c r="O91" s="40"/>
      <c r="P91" s="41"/>
      <c r="Q91" s="39"/>
      <c r="R91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2</v>
      </c>
    </row>
    <row r="92" spans="2:18" x14ac:dyDescent="0.2">
      <c r="B92" s="29" t="s">
        <v>181</v>
      </c>
      <c r="C92" s="30" t="s">
        <v>182</v>
      </c>
      <c r="D92" s="31">
        <f>Tabla134122028384654627078869410211011812613414215013415816617418219015816617419820621422223023824625426227027828629430231031832633434034835636437238012[[#This Row],[STOCK]]</f>
        <v>293</v>
      </c>
      <c r="E92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293</v>
      </c>
      <c r="F92" s="30"/>
      <c r="G92" s="31"/>
      <c r="H92" s="42"/>
      <c r="I92" s="43"/>
      <c r="J92" s="44"/>
      <c r="K92" s="42"/>
      <c r="L92" s="43"/>
      <c r="M92" s="44"/>
      <c r="N92" s="42"/>
      <c r="O92" s="43"/>
      <c r="P92" s="44"/>
      <c r="Q92" s="42"/>
      <c r="R92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93" spans="2:18" x14ac:dyDescent="0.2">
      <c r="B93" s="22" t="s">
        <v>183</v>
      </c>
      <c r="C93" s="23" t="s">
        <v>184</v>
      </c>
      <c r="D93" s="24">
        <f>Tabla134122028384654627078869410211011812613414215013415816617418219015816617419820621422223023824625426227027828629430231031832633434034835636437238012[[#This Row],[STOCK]]</f>
        <v>0</v>
      </c>
      <c r="E93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0</v>
      </c>
      <c r="F93" s="23"/>
      <c r="G93" s="24"/>
      <c r="H93" s="39"/>
      <c r="I93" s="40"/>
      <c r="J93" s="41"/>
      <c r="K93" s="39"/>
      <c r="L93" s="40"/>
      <c r="M93" s="41"/>
      <c r="N93" s="39"/>
      <c r="O93" s="40"/>
      <c r="P93" s="41"/>
      <c r="Q93" s="39"/>
      <c r="R93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94" spans="2:18" x14ac:dyDescent="0.2">
      <c r="B94" s="29" t="s">
        <v>185</v>
      </c>
      <c r="C94" s="30" t="s">
        <v>186</v>
      </c>
      <c r="D94" s="31">
        <f>Tabla134122028384654627078869410211011812613414215013415816617418219015816617419820621422223023824625426227027828629430231031832633434034835636437238012[[#This Row],[STOCK]]</f>
        <v>0</v>
      </c>
      <c r="E94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0</v>
      </c>
      <c r="F94" s="30"/>
      <c r="G94" s="31"/>
      <c r="H94" s="42"/>
      <c r="I94" s="43"/>
      <c r="J94" s="44"/>
      <c r="K94" s="42"/>
      <c r="L94" s="43"/>
      <c r="M94" s="44"/>
      <c r="N94" s="42"/>
      <c r="O94" s="43"/>
      <c r="P94" s="44"/>
      <c r="Q94" s="42"/>
      <c r="R94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95" spans="2:18" x14ac:dyDescent="0.2">
      <c r="B95" s="22" t="s">
        <v>187</v>
      </c>
      <c r="C95" s="23" t="s">
        <v>188</v>
      </c>
      <c r="D95" s="24">
        <f>Tabla134122028384654627078869410211011812613414215013415816617418219015816617419820621422223023824625426227027828629430231031832633434034835636437238012[[#This Row],[STOCK]]</f>
        <v>0</v>
      </c>
      <c r="E95" s="25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0</v>
      </c>
      <c r="F95" s="23"/>
      <c r="G95" s="24"/>
      <c r="H95" s="39"/>
      <c r="I95" s="40"/>
      <c r="J95" s="41"/>
      <c r="K95" s="39"/>
      <c r="L95" s="40"/>
      <c r="M95" s="41"/>
      <c r="N95" s="39"/>
      <c r="O95" s="40"/>
      <c r="P95" s="41"/>
      <c r="Q95" s="39"/>
      <c r="R95" s="23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96" spans="2:18" x14ac:dyDescent="0.2">
      <c r="B96" s="29" t="s">
        <v>189</v>
      </c>
      <c r="C96" s="30" t="s">
        <v>190</v>
      </c>
      <c r="D96" s="31">
        <f>Tabla134122028384654627078869410211011812613414215013415816617418219015816617419820621422223023824625426227027828629430231031832633434034835636437238012[[#This Row],[STOCK]]</f>
        <v>0</v>
      </c>
      <c r="E96" s="32">
        <f>Tabla13412202838465462707886941021101181261341421501341581661741821901581661741982062142222302382462542622702782862943023103183263343403483563643723801220[[#This Row],[INVENTARIO INICIAL]]+Tabla13412202838465462707886941021101181261341421501341581661741821901581661741982062142222302382462542622702782862943023103183263343403483563643723801220[[#This Row],[INGRESO LUNES]]-Tabla13412202838465462707886941021101181261341421501341581661741821901581661741982062142222302382462542622702782862943023103183263343403483563643723801220[[#This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Row],[INGRESO MARTES]]-Tabla13412202838465462707886941021101181261341421501341581661741821901581661741982062142222302382462542622702782862943023103183263343403483563643723801220[[#This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Row],[INGRESO MIERCOLES]]-Tabla13412202838465462707886941021101181261341421501341581661741821901581661741982062142222302382462542622702782862943023103183263343403483563643723801220[[#This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Row],[INGRESO JUEVES]]-Tabla13412202838465462707886941021101181261341421501341581661741821901581661741982062142222302382462542622702782862943023103183263343403483563643723801220[[#This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Row],[INGRESO VIERNES]]-Tabla13412202838465462707886941021101181261341421501341581661741821901581661741982062142222302382462542622702782862943023103183263343403483563643723801220[[#This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 INGRESO SABADO]]-Tabla13412202838465462707886941021101181261341421501341581661741821901581661741982062142222302382462542622702782862943023103183263343403483563643723801220[[#This Row],[VENTA SABADO]]</f>
        <v>0</v>
      </c>
      <c r="F96" s="30"/>
      <c r="G96" s="31"/>
      <c r="H96" s="42"/>
      <c r="I96" s="43"/>
      <c r="J96" s="44"/>
      <c r="K96" s="42"/>
      <c r="L96" s="43"/>
      <c r="M96" s="44"/>
      <c r="N96" s="42"/>
      <c r="O96" s="43"/>
      <c r="P96" s="44"/>
      <c r="Q96" s="42"/>
      <c r="R96" s="30">
        <f>Tabla13412202838465462707886941021101181261341421501341581661741821901581661741982062142222302382462542622702782862943023103183263343403483563643723801220[[#This Row],[VENTA LUNES]]+Tabla13412202838465462707886941021101181261341421501341581661741821901581661741982062142222302382462542622702782862943023103183263343403483563643723801220[[#This Row],[VENTA MARTES]]+Tabla13412202838465462707886941021101181261341421501341581661741821901581661741982062142222302382462542622702782862943023103183263343403483563643723801220[[#This Row],[VENTA MIERCOLES]]+Tabla13412202838465462707886941021101181261341421501341581661741821901581661741982062142222302382462542622702782862943023103183263343403483563643723801220[[#This Row],[VENTA JUEVES]]+Tabla13412202838465462707886941021101181261341421501341581661741821901581661741982062142222302382462542622702782862943023103183263343403483563643723801220[[#This Row],[VENTA VIERNES]]+Tabla13412202838465462707886941021101181261341421501341581661741821901581661741982062142222302382462542622702782862943023103183263343403483563643723801220[[#This Row],[VENTA SABADO]]</f>
        <v>0</v>
      </c>
    </row>
    <row r="98" spans="2:18" s="54" customFormat="1" ht="38.25" x14ac:dyDescent="0.2">
      <c r="B98" s="17" t="s">
        <v>191</v>
      </c>
      <c r="C98" s="17" t="s">
        <v>5</v>
      </c>
      <c r="D98" s="17" t="s">
        <v>6</v>
      </c>
      <c r="E98" s="37" t="s">
        <v>7</v>
      </c>
      <c r="F98" s="17" t="s">
        <v>8</v>
      </c>
      <c r="G98" s="17" t="s">
        <v>51</v>
      </c>
      <c r="H98" s="17" t="s">
        <v>10</v>
      </c>
      <c r="I98" s="17" t="s">
        <v>11</v>
      </c>
      <c r="J98" s="17" t="s">
        <v>12</v>
      </c>
      <c r="K98" s="17" t="s">
        <v>13</v>
      </c>
      <c r="L98" s="17" t="s">
        <v>14</v>
      </c>
      <c r="M98" s="17" t="s">
        <v>15</v>
      </c>
      <c r="N98" s="17" t="s">
        <v>16</v>
      </c>
      <c r="O98" s="17" t="s">
        <v>17</v>
      </c>
      <c r="P98" s="17" t="s">
        <v>18</v>
      </c>
      <c r="Q98" s="17" t="s">
        <v>19</v>
      </c>
      <c r="R98" s="17" t="s">
        <v>20</v>
      </c>
    </row>
    <row r="99" spans="2:18" x14ac:dyDescent="0.2">
      <c r="B99" s="22" t="s">
        <v>192</v>
      </c>
      <c r="C99" s="23" t="s">
        <v>193</v>
      </c>
      <c r="D99" s="24">
        <f>Tabla1346132129394755637179879510311111912713514315113515916717518319115916717519920721522323123924725526327127928729530331131932733534134935736537338113[[#This Row],[STOCK]]</f>
        <v>628</v>
      </c>
      <c r="E99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794</v>
      </c>
      <c r="F99" s="23"/>
      <c r="G99" s="24">
        <v>3</v>
      </c>
      <c r="H99" s="39"/>
      <c r="I99" s="40"/>
      <c r="J99" s="41"/>
      <c r="K99" s="39"/>
      <c r="L99" s="40"/>
      <c r="M99" s="41">
        <v>2</v>
      </c>
      <c r="N99" s="39"/>
      <c r="O99" s="40">
        <v>9</v>
      </c>
      <c r="P99" s="41">
        <v>180</v>
      </c>
      <c r="Q99" s="39"/>
      <c r="R99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14</v>
      </c>
    </row>
    <row r="100" spans="2:18" x14ac:dyDescent="0.2">
      <c r="B100" s="29" t="s">
        <v>194</v>
      </c>
      <c r="C100" s="30" t="s">
        <v>195</v>
      </c>
      <c r="D100" s="31">
        <f>Tabla1346132129394755637179879510311111912713514315113515916717518319115916717519920721522323123924725526327127928729530331131932733534134935736537338113[[#This Row],[STOCK]]</f>
        <v>522</v>
      </c>
      <c r="E100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507</v>
      </c>
      <c r="F100" s="30"/>
      <c r="G100" s="31">
        <v>3</v>
      </c>
      <c r="H100" s="42"/>
      <c r="I100" s="43">
        <v>5</v>
      </c>
      <c r="J100" s="44"/>
      <c r="K100" s="42"/>
      <c r="L100" s="43"/>
      <c r="M100" s="44">
        <v>2</v>
      </c>
      <c r="N100" s="42"/>
      <c r="O100" s="43">
        <v>5</v>
      </c>
      <c r="P100" s="44"/>
      <c r="Q100" s="42"/>
      <c r="R100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15</v>
      </c>
    </row>
    <row r="101" spans="2:18" x14ac:dyDescent="0.2">
      <c r="B101" s="22" t="s">
        <v>196</v>
      </c>
      <c r="C101" s="23" t="s">
        <v>197</v>
      </c>
      <c r="D101" s="24">
        <f>Tabla1346132129394755637179879510311111912713514315113515916717518319115916717519920721522323123924725526327127928729530331131932733534134935736537338113[[#This Row],[STOCK]]</f>
        <v>232</v>
      </c>
      <c r="E101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218</v>
      </c>
      <c r="F101" s="23"/>
      <c r="G101" s="24">
        <v>3</v>
      </c>
      <c r="H101" s="39"/>
      <c r="I101" s="40">
        <v>5</v>
      </c>
      <c r="J101" s="41"/>
      <c r="K101" s="39"/>
      <c r="L101" s="40"/>
      <c r="M101" s="41">
        <v>2</v>
      </c>
      <c r="N101" s="39"/>
      <c r="O101" s="40">
        <v>4</v>
      </c>
      <c r="P101" s="41"/>
      <c r="Q101" s="39"/>
      <c r="R101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14</v>
      </c>
    </row>
    <row r="102" spans="2:18" x14ac:dyDescent="0.2">
      <c r="B102" s="29" t="s">
        <v>198</v>
      </c>
      <c r="C102" s="30" t="s">
        <v>199</v>
      </c>
      <c r="D102" s="31">
        <f>Tabla1346132129394755637179879510311111912713514315113515916717518319115916717519920721522323123924725526327127928729530331131932733534134935736537338113[[#This Row],[STOCK]]</f>
        <v>634</v>
      </c>
      <c r="E102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634</v>
      </c>
      <c r="F102" s="30"/>
      <c r="G102" s="31"/>
      <c r="H102" s="42"/>
      <c r="I102" s="43"/>
      <c r="J102" s="44"/>
      <c r="K102" s="42"/>
      <c r="L102" s="43"/>
      <c r="M102" s="44"/>
      <c r="N102" s="42"/>
      <c r="O102" s="43"/>
      <c r="P102" s="44"/>
      <c r="Q102" s="42"/>
      <c r="R102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0</v>
      </c>
    </row>
    <row r="103" spans="2:18" x14ac:dyDescent="0.2">
      <c r="B103" s="22" t="s">
        <v>200</v>
      </c>
      <c r="C103" s="23" t="s">
        <v>201</v>
      </c>
      <c r="D103" s="24">
        <f>Tabla1346132129394755637179879510311111912713514315113515916717518319115916717519920721522323123924725526327127928729530331131932733534134935736537338113[[#This Row],[STOCK]]</f>
        <v>74</v>
      </c>
      <c r="E103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69</v>
      </c>
      <c r="F103" s="23"/>
      <c r="G103" s="24">
        <v>2</v>
      </c>
      <c r="H103" s="39"/>
      <c r="I103" s="40"/>
      <c r="J103" s="41"/>
      <c r="K103" s="39"/>
      <c r="L103" s="40"/>
      <c r="M103" s="41"/>
      <c r="N103" s="39"/>
      <c r="O103" s="40">
        <v>3</v>
      </c>
      <c r="P103" s="41"/>
      <c r="Q103" s="39"/>
      <c r="R103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5</v>
      </c>
    </row>
    <row r="104" spans="2:18" x14ac:dyDescent="0.2">
      <c r="B104" s="29" t="s">
        <v>202</v>
      </c>
      <c r="C104" s="30" t="s">
        <v>203</v>
      </c>
      <c r="D104" s="31">
        <f>Tabla1346132129394755637179879510311111912713514315113515916717518319115916717519920721522323123924725526327127928729530331131932733534134935736537338113[[#This Row],[STOCK]]</f>
        <v>68</v>
      </c>
      <c r="E104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57</v>
      </c>
      <c r="F104" s="30"/>
      <c r="G104" s="31">
        <v>2</v>
      </c>
      <c r="H104" s="42"/>
      <c r="I104" s="43">
        <v>5</v>
      </c>
      <c r="J104" s="44"/>
      <c r="K104" s="42"/>
      <c r="L104" s="43"/>
      <c r="M104" s="44"/>
      <c r="N104" s="42"/>
      <c r="O104" s="43">
        <v>4</v>
      </c>
      <c r="P104" s="44"/>
      <c r="Q104" s="42"/>
      <c r="R104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11</v>
      </c>
    </row>
    <row r="105" spans="2:18" x14ac:dyDescent="0.2">
      <c r="B105" s="22" t="s">
        <v>204</v>
      </c>
      <c r="C105" s="23" t="s">
        <v>205</v>
      </c>
      <c r="D105" s="24">
        <f>Tabla1346132129394755637179879510311111912713514315113515916717518319115916717519920721522323123924725526327127928729530331131932733534134935736537338113[[#This Row],[STOCK]]</f>
        <v>275</v>
      </c>
      <c r="E105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271</v>
      </c>
      <c r="F105" s="23"/>
      <c r="G105" s="24"/>
      <c r="H105" s="39"/>
      <c r="I105" s="40"/>
      <c r="J105" s="41"/>
      <c r="K105" s="39"/>
      <c r="L105" s="40"/>
      <c r="M105" s="41">
        <v>2</v>
      </c>
      <c r="N105" s="39"/>
      <c r="O105" s="40">
        <v>2</v>
      </c>
      <c r="P105" s="41"/>
      <c r="Q105" s="39"/>
      <c r="R105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4</v>
      </c>
    </row>
    <row r="106" spans="2:18" x14ac:dyDescent="0.2">
      <c r="B106" s="29" t="s">
        <v>206</v>
      </c>
      <c r="C106" s="30" t="s">
        <v>207</v>
      </c>
      <c r="D106" s="31">
        <f>Tabla1346132129394755637179879510311111912713514315113515916717518319115916717519920721522323123924725526327127928729530331131932733534134935736537338113[[#This Row],[STOCK]]</f>
        <v>487</v>
      </c>
      <c r="E106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483</v>
      </c>
      <c r="F106" s="30"/>
      <c r="G106" s="31"/>
      <c r="H106" s="42"/>
      <c r="I106" s="43"/>
      <c r="J106" s="44"/>
      <c r="K106" s="42"/>
      <c r="L106" s="43"/>
      <c r="M106" s="44">
        <v>2</v>
      </c>
      <c r="N106" s="42"/>
      <c r="O106" s="43">
        <v>2</v>
      </c>
      <c r="P106" s="44"/>
      <c r="Q106" s="42"/>
      <c r="R106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4</v>
      </c>
    </row>
    <row r="107" spans="2:18" x14ac:dyDescent="0.2">
      <c r="B107" s="22" t="s">
        <v>208</v>
      </c>
      <c r="C107" s="23" t="s">
        <v>209</v>
      </c>
      <c r="D107" s="24">
        <f>Tabla1346132129394755637179879510311111912713514315113515916717518319115916717519920721522323123924725526327127928729530331131932733534134935736537338113[[#This Row],[STOCK]]</f>
        <v>476</v>
      </c>
      <c r="E107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461</v>
      </c>
      <c r="F107" s="23"/>
      <c r="G107" s="24">
        <v>2</v>
      </c>
      <c r="H107" s="39"/>
      <c r="I107" s="40"/>
      <c r="J107" s="41"/>
      <c r="K107" s="39"/>
      <c r="L107" s="40"/>
      <c r="M107" s="41">
        <v>2</v>
      </c>
      <c r="N107" s="39"/>
      <c r="O107" s="40">
        <v>11</v>
      </c>
      <c r="P107" s="41"/>
      <c r="Q107" s="39"/>
      <c r="R107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15</v>
      </c>
    </row>
    <row r="108" spans="2:18" x14ac:dyDescent="0.2">
      <c r="B108" s="29" t="s">
        <v>210</v>
      </c>
      <c r="C108" s="30" t="s">
        <v>211</v>
      </c>
      <c r="D108" s="31">
        <f>Tabla1346132129394755637179879510311111912713514315113515916717518319115916717519920721522323123924725526327127928729530331131932733534134935736537338113[[#This Row],[STOCK]]</f>
        <v>490</v>
      </c>
      <c r="E108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483</v>
      </c>
      <c r="F108" s="30"/>
      <c r="G108" s="31"/>
      <c r="H108" s="42"/>
      <c r="I108" s="43"/>
      <c r="J108" s="44"/>
      <c r="K108" s="42"/>
      <c r="L108" s="43"/>
      <c r="M108" s="44">
        <v>2</v>
      </c>
      <c r="N108" s="42"/>
      <c r="O108" s="43">
        <v>5</v>
      </c>
      <c r="P108" s="44"/>
      <c r="Q108" s="42"/>
      <c r="R108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7</v>
      </c>
    </row>
    <row r="109" spans="2:18" ht="12.75" customHeight="1" x14ac:dyDescent="0.2">
      <c r="B109" s="22" t="s">
        <v>212</v>
      </c>
      <c r="C109" s="23" t="s">
        <v>213</v>
      </c>
      <c r="D109" s="24">
        <f>Tabla1346132129394755637179879510311111912713514315113515916717518319115916717519920721522323123924725526327127928729530331131932733534134935736537338113[[#This Row],[STOCK]]</f>
        <v>283</v>
      </c>
      <c r="E109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340</v>
      </c>
      <c r="F109" s="23"/>
      <c r="G109" s="24">
        <v>2</v>
      </c>
      <c r="H109" s="39"/>
      <c r="I109" s="40"/>
      <c r="J109" s="41"/>
      <c r="K109" s="39"/>
      <c r="L109" s="40">
        <v>72</v>
      </c>
      <c r="M109" s="41">
        <v>2</v>
      </c>
      <c r="N109" s="39"/>
      <c r="O109" s="40">
        <v>11</v>
      </c>
      <c r="P109" s="41"/>
      <c r="Q109" s="39"/>
      <c r="R109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15</v>
      </c>
    </row>
    <row r="110" spans="2:18" x14ac:dyDescent="0.2">
      <c r="B110" s="29" t="s">
        <v>214</v>
      </c>
      <c r="C110" s="30" t="s">
        <v>215</v>
      </c>
      <c r="D110" s="31">
        <f>Tabla1346132129394755637179879510311111912713514315113515916717518319115916717519920721522323123924725526327127928729530331131932733534134935736537338113[[#This Row],[STOCK]]</f>
        <v>51</v>
      </c>
      <c r="E110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115</v>
      </c>
      <c r="F110" s="30"/>
      <c r="G110" s="31"/>
      <c r="H110" s="42"/>
      <c r="I110" s="43"/>
      <c r="J110" s="44"/>
      <c r="K110" s="42"/>
      <c r="L110" s="43"/>
      <c r="M110" s="44">
        <v>2</v>
      </c>
      <c r="N110" s="42"/>
      <c r="O110" s="43">
        <v>6</v>
      </c>
      <c r="P110" s="44">
        <v>72</v>
      </c>
      <c r="Q110" s="42"/>
      <c r="R110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8</v>
      </c>
    </row>
    <row r="111" spans="2:18" x14ac:dyDescent="0.2">
      <c r="B111" s="22" t="s">
        <v>216</v>
      </c>
      <c r="C111" s="23" t="s">
        <v>217</v>
      </c>
      <c r="D111" s="24">
        <f>Tabla1346132129394755637179879510311111912713514315113515916717518319115916717519920721522323123924725526327127928729530331131932733534134935736537338113[[#This Row],[STOCK]]</f>
        <v>110</v>
      </c>
      <c r="E111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99</v>
      </c>
      <c r="F111" s="23"/>
      <c r="G111" s="24"/>
      <c r="H111" s="39"/>
      <c r="I111" s="40"/>
      <c r="J111" s="41"/>
      <c r="K111" s="39"/>
      <c r="L111" s="40"/>
      <c r="M111" s="41">
        <v>6</v>
      </c>
      <c r="N111" s="39"/>
      <c r="O111" s="40">
        <v>5</v>
      </c>
      <c r="P111" s="41"/>
      <c r="Q111" s="39"/>
      <c r="R111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11</v>
      </c>
    </row>
    <row r="112" spans="2:18" x14ac:dyDescent="0.2">
      <c r="B112" s="29" t="s">
        <v>218</v>
      </c>
      <c r="C112" s="30" t="s">
        <v>219</v>
      </c>
      <c r="D112" s="31">
        <f>Tabla1346132129394755637179879510311111912713514315113515916717518319115916717519920721522323123924725526327127928729530331131932733534134935736537338113[[#This Row],[STOCK]]</f>
        <v>513</v>
      </c>
      <c r="E112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504</v>
      </c>
      <c r="F112" s="30"/>
      <c r="G112" s="31"/>
      <c r="H112" s="42"/>
      <c r="I112" s="43"/>
      <c r="J112" s="44"/>
      <c r="K112" s="42"/>
      <c r="L112" s="43"/>
      <c r="M112" s="44">
        <v>2</v>
      </c>
      <c r="N112" s="42"/>
      <c r="O112" s="43">
        <v>7</v>
      </c>
      <c r="P112" s="44"/>
      <c r="Q112" s="42"/>
      <c r="R112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9</v>
      </c>
    </row>
    <row r="113" spans="2:18" x14ac:dyDescent="0.2">
      <c r="B113" s="22" t="s">
        <v>220</v>
      </c>
      <c r="C113" s="23" t="s">
        <v>221</v>
      </c>
      <c r="D113" s="24">
        <f>Tabla1346132129394755637179879510311111912713514315113515916717518319115916717519920721522323123924725526327127928729530331131932733534134935736537338113[[#This Row],[STOCK]]</f>
        <v>492</v>
      </c>
      <c r="E113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547</v>
      </c>
      <c r="F113" s="23"/>
      <c r="G113" s="24">
        <v>2</v>
      </c>
      <c r="H113" s="39"/>
      <c r="I113" s="40"/>
      <c r="J113" s="41"/>
      <c r="K113" s="39"/>
      <c r="L113" s="40"/>
      <c r="M113" s="41">
        <v>6</v>
      </c>
      <c r="N113" s="39"/>
      <c r="O113" s="40">
        <v>9</v>
      </c>
      <c r="P113" s="41">
        <v>72</v>
      </c>
      <c r="Q113" s="39"/>
      <c r="R113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17</v>
      </c>
    </row>
    <row r="114" spans="2:18" x14ac:dyDescent="0.2">
      <c r="B114" s="29" t="s">
        <v>222</v>
      </c>
      <c r="C114" s="30" t="s">
        <v>223</v>
      </c>
      <c r="D114" s="31">
        <f>Tabla1346132129394755637179879510311111912713514315113515916717518319115916717519920721522323123924725526327127928729530331131932733534134935736537338113[[#This Row],[STOCK]]</f>
        <v>148</v>
      </c>
      <c r="E114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203</v>
      </c>
      <c r="F114" s="30"/>
      <c r="G114" s="31">
        <v>4</v>
      </c>
      <c r="H114" s="42"/>
      <c r="I114" s="43"/>
      <c r="J114" s="44"/>
      <c r="K114" s="42"/>
      <c r="L114" s="43"/>
      <c r="M114" s="44">
        <v>5</v>
      </c>
      <c r="N114" s="42"/>
      <c r="O114" s="43">
        <v>8</v>
      </c>
      <c r="P114" s="44">
        <v>72</v>
      </c>
      <c r="Q114" s="42"/>
      <c r="R114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17</v>
      </c>
    </row>
    <row r="115" spans="2:18" x14ac:dyDescent="0.2">
      <c r="B115" s="22" t="s">
        <v>224</v>
      </c>
      <c r="C115" s="23" t="s">
        <v>225</v>
      </c>
      <c r="D115" s="24">
        <f>Tabla1346132129394755637179879510311111912713514315113515916717518319115916717519920721522323123924725526327127928729530331131932733534134935736537338113[[#This Row],[STOCK]]</f>
        <v>468</v>
      </c>
      <c r="E115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452</v>
      </c>
      <c r="F115" s="23"/>
      <c r="G115" s="24">
        <v>4</v>
      </c>
      <c r="H115" s="39"/>
      <c r="I115" s="40"/>
      <c r="J115" s="41"/>
      <c r="K115" s="39"/>
      <c r="L115" s="40"/>
      <c r="M115" s="41">
        <v>4</v>
      </c>
      <c r="N115" s="39"/>
      <c r="O115" s="40">
        <v>8</v>
      </c>
      <c r="P115" s="41"/>
      <c r="Q115" s="39"/>
      <c r="R115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16</v>
      </c>
    </row>
    <row r="116" spans="2:18" x14ac:dyDescent="0.2">
      <c r="B116" s="29" t="s">
        <v>226</v>
      </c>
      <c r="C116" s="30" t="s">
        <v>227</v>
      </c>
      <c r="D116" s="31">
        <f>Tabla1346132129394755637179879510311111912713514315113515916717518319115916717519920721522323123924725526327127928729530331131932733534134935736537338113[[#This Row],[STOCK]]</f>
        <v>197</v>
      </c>
      <c r="E116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179</v>
      </c>
      <c r="F116" s="30"/>
      <c r="G116" s="31">
        <v>2</v>
      </c>
      <c r="H116" s="42"/>
      <c r="I116" s="43">
        <v>10</v>
      </c>
      <c r="J116" s="44"/>
      <c r="K116" s="42"/>
      <c r="L116" s="43"/>
      <c r="M116" s="44">
        <v>2</v>
      </c>
      <c r="N116" s="42"/>
      <c r="O116" s="43">
        <v>4</v>
      </c>
      <c r="P116" s="44"/>
      <c r="Q116" s="42"/>
      <c r="R116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18</v>
      </c>
    </row>
    <row r="117" spans="2:18" x14ac:dyDescent="0.2">
      <c r="B117" s="22" t="s">
        <v>228</v>
      </c>
      <c r="C117" s="23" t="s">
        <v>229</v>
      </c>
      <c r="D117" s="24">
        <f>Tabla1346132129394755637179879510311111912713514315113515916717518319115916717519920721522323123924725526327127928729530331131932733534134935736537338113[[#This Row],[STOCK]]</f>
        <v>436</v>
      </c>
      <c r="E117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428</v>
      </c>
      <c r="F117" s="23"/>
      <c r="G117" s="24"/>
      <c r="H117" s="39"/>
      <c r="I117" s="40">
        <v>3</v>
      </c>
      <c r="J117" s="41"/>
      <c r="K117" s="39"/>
      <c r="L117" s="40"/>
      <c r="M117" s="41"/>
      <c r="N117" s="39"/>
      <c r="O117" s="40">
        <v>5</v>
      </c>
      <c r="P117" s="41"/>
      <c r="Q117" s="39"/>
      <c r="R117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8</v>
      </c>
    </row>
    <row r="118" spans="2:18" x14ac:dyDescent="0.2">
      <c r="B118" s="29" t="s">
        <v>230</v>
      </c>
      <c r="C118" s="30" t="s">
        <v>231</v>
      </c>
      <c r="D118" s="31">
        <f>Tabla1346132129394755637179879510311111912713514315113515916717518319115916717519920721522323123924725526327127928729530331131932733534134935736537338113[[#This Row],[STOCK]]</f>
        <v>316</v>
      </c>
      <c r="E118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303</v>
      </c>
      <c r="F118" s="30"/>
      <c r="G118" s="31">
        <v>6</v>
      </c>
      <c r="H118" s="42"/>
      <c r="I118" s="43">
        <v>3</v>
      </c>
      <c r="J118" s="44"/>
      <c r="K118" s="42"/>
      <c r="L118" s="43"/>
      <c r="M118" s="44"/>
      <c r="N118" s="42"/>
      <c r="O118" s="43">
        <v>4</v>
      </c>
      <c r="P118" s="44"/>
      <c r="Q118" s="42"/>
      <c r="R118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13</v>
      </c>
    </row>
    <row r="119" spans="2:18" ht="12" customHeight="1" x14ac:dyDescent="0.2">
      <c r="B119" s="22" t="s">
        <v>232</v>
      </c>
      <c r="C119" s="23" t="s">
        <v>233</v>
      </c>
      <c r="D119" s="24">
        <f>Tabla1346132129394755637179879510311111912713514315113515916717518319115916717519920721522323123924725526327127928729530331131932733534134935736537338113[[#This Row],[STOCK]]</f>
        <v>273</v>
      </c>
      <c r="E119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262</v>
      </c>
      <c r="F119" s="23"/>
      <c r="G119" s="24"/>
      <c r="H119" s="39"/>
      <c r="I119" s="40">
        <v>3</v>
      </c>
      <c r="J119" s="41"/>
      <c r="K119" s="39"/>
      <c r="L119" s="40"/>
      <c r="M119" s="41"/>
      <c r="N119" s="39"/>
      <c r="O119" s="40">
        <v>8</v>
      </c>
      <c r="P119" s="41"/>
      <c r="Q119" s="39"/>
      <c r="R119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11</v>
      </c>
    </row>
    <row r="120" spans="2:18" x14ac:dyDescent="0.2">
      <c r="B120" s="29" t="s">
        <v>234</v>
      </c>
      <c r="C120" s="30" t="s">
        <v>235</v>
      </c>
      <c r="D120" s="31">
        <f>Tabla1346132129394755637179879510311111912713514315113515916717518319115916717519920721522323123924725526327127928729530331131932733534134935736537338113[[#This Row],[STOCK]]</f>
        <v>459</v>
      </c>
      <c r="E120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439</v>
      </c>
      <c r="F120" s="30"/>
      <c r="G120" s="31">
        <v>2</v>
      </c>
      <c r="H120" s="42"/>
      <c r="I120" s="43">
        <v>10</v>
      </c>
      <c r="J120" s="44"/>
      <c r="K120" s="42"/>
      <c r="L120" s="43"/>
      <c r="M120" s="44">
        <v>1</v>
      </c>
      <c r="N120" s="42"/>
      <c r="O120" s="43">
        <v>7</v>
      </c>
      <c r="P120" s="44"/>
      <c r="Q120" s="42"/>
      <c r="R120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20</v>
      </c>
    </row>
    <row r="121" spans="2:18" x14ac:dyDescent="0.2">
      <c r="B121" s="22" t="s">
        <v>236</v>
      </c>
      <c r="C121" s="23" t="s">
        <v>237</v>
      </c>
      <c r="D121" s="24">
        <f>Tabla1346132129394755637179879510311111912713514315113515916717518319115916717519920721522323123924725526327127928729530331131932733534134935736537338113[[#This Row],[STOCK]]</f>
        <v>673</v>
      </c>
      <c r="E121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640</v>
      </c>
      <c r="F121" s="23"/>
      <c r="G121" s="24">
        <v>3</v>
      </c>
      <c r="H121" s="39"/>
      <c r="I121" s="40">
        <v>15</v>
      </c>
      <c r="J121" s="41"/>
      <c r="K121" s="39"/>
      <c r="L121" s="40"/>
      <c r="M121" s="41">
        <v>1</v>
      </c>
      <c r="N121" s="39"/>
      <c r="O121" s="40">
        <v>14</v>
      </c>
      <c r="P121" s="41"/>
      <c r="Q121" s="39"/>
      <c r="R121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33</v>
      </c>
    </row>
    <row r="122" spans="2:18" x14ac:dyDescent="0.2">
      <c r="B122" s="29" t="s">
        <v>238</v>
      </c>
      <c r="C122" s="30" t="s">
        <v>239</v>
      </c>
      <c r="D122" s="31">
        <f>Tabla1346132129394755637179879510311111912713514315113515916717518319115916717519920721522323123924725526327127928729530331131932733534134935736537338113[[#This Row],[STOCK]]</f>
        <v>878</v>
      </c>
      <c r="E122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870</v>
      </c>
      <c r="F122" s="30"/>
      <c r="G122" s="31"/>
      <c r="H122" s="42"/>
      <c r="I122" s="43"/>
      <c r="J122" s="44"/>
      <c r="K122" s="42"/>
      <c r="L122" s="43"/>
      <c r="M122" s="44">
        <v>1</v>
      </c>
      <c r="N122" s="42"/>
      <c r="O122" s="43">
        <v>7</v>
      </c>
      <c r="P122" s="44"/>
      <c r="Q122" s="42"/>
      <c r="R122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8</v>
      </c>
    </row>
    <row r="123" spans="2:18" x14ac:dyDescent="0.2">
      <c r="B123" s="22" t="s">
        <v>240</v>
      </c>
      <c r="C123" s="23" t="s">
        <v>241</v>
      </c>
      <c r="D123" s="24">
        <f>Tabla1346132129394755637179879510311111912713514315113515916717518319115916717519920721522323123924725526327127928729530331131932733534134935736537338113[[#This Row],[STOCK]]</f>
        <v>396</v>
      </c>
      <c r="E123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387</v>
      </c>
      <c r="F123" s="23"/>
      <c r="G123" s="24">
        <v>2</v>
      </c>
      <c r="H123" s="39"/>
      <c r="I123" s="40"/>
      <c r="J123" s="41"/>
      <c r="K123" s="39"/>
      <c r="L123" s="40"/>
      <c r="M123" s="41">
        <v>2</v>
      </c>
      <c r="N123" s="39"/>
      <c r="O123" s="40">
        <v>5</v>
      </c>
      <c r="P123" s="41"/>
      <c r="Q123" s="39"/>
      <c r="R123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9</v>
      </c>
    </row>
    <row r="124" spans="2:18" x14ac:dyDescent="0.2">
      <c r="B124" s="29" t="s">
        <v>242</v>
      </c>
      <c r="C124" s="30" t="s">
        <v>243</v>
      </c>
      <c r="D124" s="31">
        <f>Tabla1346132129394755637179879510311111912713514315113515916717518319115916717519920721522323123924725526327127928729530331131932733534134935736537338113[[#This Row],[STOCK]]</f>
        <v>366</v>
      </c>
      <c r="E124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359</v>
      </c>
      <c r="F124" s="30"/>
      <c r="G124" s="31"/>
      <c r="H124" s="42"/>
      <c r="I124" s="43"/>
      <c r="J124" s="44"/>
      <c r="K124" s="42"/>
      <c r="L124" s="43"/>
      <c r="M124" s="44">
        <v>2</v>
      </c>
      <c r="N124" s="42"/>
      <c r="O124" s="43">
        <v>5</v>
      </c>
      <c r="P124" s="44"/>
      <c r="Q124" s="42"/>
      <c r="R124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7</v>
      </c>
    </row>
    <row r="125" spans="2:18" x14ac:dyDescent="0.2">
      <c r="B125" s="22" t="s">
        <v>244</v>
      </c>
      <c r="C125" s="23" t="s">
        <v>245</v>
      </c>
      <c r="D125" s="24">
        <f>Tabla1346132129394755637179879510311111912713514315113515916717518319115916717519920721522323123924725526327127928729530331131932733534134935736537338113[[#This Row],[STOCK]]</f>
        <v>548</v>
      </c>
      <c r="E125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541</v>
      </c>
      <c r="F125" s="23"/>
      <c r="G125" s="24"/>
      <c r="H125" s="39"/>
      <c r="I125" s="40"/>
      <c r="J125" s="41"/>
      <c r="K125" s="39"/>
      <c r="L125" s="40"/>
      <c r="M125" s="41">
        <v>2</v>
      </c>
      <c r="N125" s="39"/>
      <c r="O125" s="40">
        <v>5</v>
      </c>
      <c r="P125" s="41"/>
      <c r="Q125" s="39"/>
      <c r="R125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7</v>
      </c>
    </row>
    <row r="126" spans="2:18" x14ac:dyDescent="0.2">
      <c r="B126" s="29" t="s">
        <v>246</v>
      </c>
      <c r="C126" s="30" t="s">
        <v>247</v>
      </c>
      <c r="D126" s="31">
        <f>Tabla1346132129394755637179879510311111912713514315113515916717518319115916717519920721522323123924725526327127928729530331131932733534134935736537338113[[#This Row],[STOCK]]</f>
        <v>432</v>
      </c>
      <c r="E126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428</v>
      </c>
      <c r="F126" s="30"/>
      <c r="G126" s="31"/>
      <c r="H126" s="42"/>
      <c r="I126" s="43"/>
      <c r="J126" s="44"/>
      <c r="K126" s="42"/>
      <c r="L126" s="43"/>
      <c r="M126" s="44">
        <v>2</v>
      </c>
      <c r="N126" s="42"/>
      <c r="O126" s="43">
        <v>2</v>
      </c>
      <c r="P126" s="44"/>
      <c r="Q126" s="42"/>
      <c r="R126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4</v>
      </c>
    </row>
    <row r="127" spans="2:18" x14ac:dyDescent="0.2">
      <c r="B127" s="22" t="s">
        <v>248</v>
      </c>
      <c r="C127" s="23" t="s">
        <v>249</v>
      </c>
      <c r="D127" s="24">
        <f>Tabla1346132129394755637179879510311111912713514315113515916717518319115916717519920721522323123924725526327127928729530331131932733534134935736537338113[[#This Row],[STOCK]]</f>
        <v>375</v>
      </c>
      <c r="E127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366</v>
      </c>
      <c r="F127" s="23"/>
      <c r="G127" s="24"/>
      <c r="H127" s="39"/>
      <c r="I127" s="40">
        <v>2</v>
      </c>
      <c r="J127" s="41"/>
      <c r="K127" s="39"/>
      <c r="L127" s="40"/>
      <c r="M127" s="41">
        <v>2</v>
      </c>
      <c r="N127" s="39"/>
      <c r="O127" s="40">
        <v>5</v>
      </c>
      <c r="P127" s="41"/>
      <c r="Q127" s="39"/>
      <c r="R127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9</v>
      </c>
    </row>
    <row r="128" spans="2:18" x14ac:dyDescent="0.2">
      <c r="B128" s="29" t="s">
        <v>250</v>
      </c>
      <c r="C128" s="30" t="s">
        <v>251</v>
      </c>
      <c r="D128" s="31">
        <f>Tabla1346132129394755637179879510311111912713514315113515916717518319115916717519920721522323123924725526327127928729530331131932733534134935736537338113[[#This Row],[STOCK]]</f>
        <v>512</v>
      </c>
      <c r="E128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506</v>
      </c>
      <c r="F128" s="30"/>
      <c r="G128" s="31"/>
      <c r="H128" s="42"/>
      <c r="I128" s="43">
        <v>2</v>
      </c>
      <c r="J128" s="44"/>
      <c r="K128" s="42"/>
      <c r="L128" s="43"/>
      <c r="M128" s="44">
        <v>2</v>
      </c>
      <c r="N128" s="42"/>
      <c r="O128" s="43">
        <v>2</v>
      </c>
      <c r="P128" s="44"/>
      <c r="Q128" s="42"/>
      <c r="R128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6</v>
      </c>
    </row>
    <row r="129" spans="2:18" x14ac:dyDescent="0.2">
      <c r="B129" s="22" t="s">
        <v>252</v>
      </c>
      <c r="C129" s="23" t="s">
        <v>253</v>
      </c>
      <c r="D129" s="24">
        <f>Tabla1346132129394755637179879510311111912713514315113515916717518319115916717519920721522323123924725526327127928729530331131932733534134935736537338113[[#This Row],[STOCK]]</f>
        <v>430</v>
      </c>
      <c r="E129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549</v>
      </c>
      <c r="F129" s="23"/>
      <c r="G129" s="24"/>
      <c r="H129" s="39">
        <v>63</v>
      </c>
      <c r="I129" s="40"/>
      <c r="J129" s="41"/>
      <c r="K129" s="39"/>
      <c r="L129" s="40"/>
      <c r="M129" s="41">
        <v>2</v>
      </c>
      <c r="N129" s="39"/>
      <c r="O129" s="40">
        <v>5</v>
      </c>
      <c r="P129" s="41">
        <v>63</v>
      </c>
      <c r="Q129" s="39"/>
      <c r="R129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7</v>
      </c>
    </row>
    <row r="130" spans="2:18" x14ac:dyDescent="0.2">
      <c r="B130" s="29" t="s">
        <v>254</v>
      </c>
      <c r="C130" s="30" t="s">
        <v>255</v>
      </c>
      <c r="D130" s="31">
        <f>Tabla1346132129394755637179879510311111912713514315113515916717518319115916717519920721522323123924725526327127928729530331131932733534134935736537338113[[#This Row],[STOCK]]</f>
        <v>236</v>
      </c>
      <c r="E130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288</v>
      </c>
      <c r="F130" s="30"/>
      <c r="G130" s="31"/>
      <c r="H130" s="42"/>
      <c r="I130" s="43"/>
      <c r="J130" s="44"/>
      <c r="K130" s="42"/>
      <c r="L130" s="43"/>
      <c r="M130" s="44">
        <v>2</v>
      </c>
      <c r="N130" s="42"/>
      <c r="O130" s="43">
        <v>6</v>
      </c>
      <c r="P130" s="44">
        <v>60</v>
      </c>
      <c r="Q130" s="42"/>
      <c r="R130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8</v>
      </c>
    </row>
    <row r="131" spans="2:18" x14ac:dyDescent="0.2">
      <c r="B131" s="22" t="s">
        <v>256</v>
      </c>
      <c r="C131" s="23" t="s">
        <v>257</v>
      </c>
      <c r="D131" s="24">
        <f>Tabla1346132129394755637179879510311111912713514315113515916717518319115916717519920721522323123924725526327127928729530331131932733534134935736537338113[[#This Row],[STOCK]]</f>
        <v>491</v>
      </c>
      <c r="E131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482</v>
      </c>
      <c r="F131" s="23"/>
      <c r="G131" s="24"/>
      <c r="H131" s="39"/>
      <c r="I131" s="40"/>
      <c r="J131" s="41"/>
      <c r="K131" s="39"/>
      <c r="L131" s="40"/>
      <c r="M131" s="41">
        <v>2</v>
      </c>
      <c r="N131" s="39"/>
      <c r="O131" s="40">
        <v>7</v>
      </c>
      <c r="P131" s="41"/>
      <c r="Q131" s="39"/>
      <c r="R131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9</v>
      </c>
    </row>
    <row r="132" spans="2:18" x14ac:dyDescent="0.2">
      <c r="B132" s="29" t="s">
        <v>258</v>
      </c>
      <c r="C132" s="30" t="s">
        <v>259</v>
      </c>
      <c r="D132" s="31">
        <f>Tabla1346132129394755637179879510311111912713514315113515916717518319115916717519920721522323123924725526327127928729530331131932733534134935736537338113[[#This Row],[STOCK]]</f>
        <v>188</v>
      </c>
      <c r="E132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175</v>
      </c>
      <c r="F132" s="30"/>
      <c r="G132" s="31"/>
      <c r="H132" s="42"/>
      <c r="I132" s="43"/>
      <c r="J132" s="44"/>
      <c r="K132" s="42"/>
      <c r="L132" s="43"/>
      <c r="M132" s="44">
        <v>2</v>
      </c>
      <c r="N132" s="42"/>
      <c r="O132" s="43">
        <v>11</v>
      </c>
      <c r="P132" s="44"/>
      <c r="Q132" s="42"/>
      <c r="R132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13</v>
      </c>
    </row>
    <row r="133" spans="2:18" x14ac:dyDescent="0.2">
      <c r="B133" s="22" t="s">
        <v>260</v>
      </c>
      <c r="C133" s="23" t="s">
        <v>261</v>
      </c>
      <c r="D133" s="24">
        <f>Tabla1346132129394755637179879510311111912713514315113515916717518319115916717519920721522323123924725526327127928729530331131932733534134935736537338113[[#This Row],[STOCK]]</f>
        <v>172</v>
      </c>
      <c r="E133" s="25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163</v>
      </c>
      <c r="F133" s="23"/>
      <c r="G133" s="24">
        <v>2</v>
      </c>
      <c r="H133" s="39"/>
      <c r="I133" s="40"/>
      <c r="J133" s="41"/>
      <c r="K133" s="39"/>
      <c r="L133" s="40"/>
      <c r="M133" s="41">
        <v>2</v>
      </c>
      <c r="N133" s="39"/>
      <c r="O133" s="40">
        <v>5</v>
      </c>
      <c r="P133" s="41"/>
      <c r="Q133" s="39"/>
      <c r="R133" s="23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9</v>
      </c>
    </row>
    <row r="134" spans="2:18" x14ac:dyDescent="0.2">
      <c r="B134" s="29" t="s">
        <v>262</v>
      </c>
      <c r="C134" s="30" t="s">
        <v>263</v>
      </c>
      <c r="D134" s="31">
        <f>Tabla1346132129394755637179879510311111912713514315113515916717518319115916717519920721522323123924725526327127928729530331131932733534134935736537338113[[#This Row],[STOCK]]</f>
        <v>327</v>
      </c>
      <c r="E134" s="32">
        <f>Tabla134613212939475563717987951031111191271351431511351591671751831911591671751992072152232312392472552632712792872953033113193273353413493573653733811321[[#This Row],[INVENTARIO INICIAL]]+Tabla134613212939475563717987951031111191271351431511351591671751831911591671751992072152232312392472552632712792872953033113193273353413493573653733811321[[#This Row],[INGRESO LUNES]]-Tabla134613212939475563717987951031111191271351431511351591671751831911591671751992072152232312392472552632712792872953033113193273353413493573653733811321[[#This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Row],[INGRESO MARTES]]-Tabla134613212939475563717987951031111191271351431511351591671751831911591671751992072152232312392472552632712792872953033113193273353413493573653733811321[[#This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Row],[INGRESO MIERCOLES]]-Tabla134613212939475563717987951031111191271351431511351591671751831911591671751992072152232312392472552632712792872953033113193273353413493573653733811321[[#This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Row],[INGRESO JUEVES]]-Tabla134613212939475563717987951031111191271351431511351591671751831911591671751992072152232312392472552632712792872953033113193273353413493573653733811321[[#This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Row],[INGRESO VIERNES]]-Tabla134613212939475563717987951031111191271351431511351591671751831911591671751992072152232312392472552632712792872953033113193273353413493573653733811321[[#This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 INGRESO SABADO]]-Tabla134613212939475563717987951031111191271351431511351591671751831911591671751992072152232312392472552632712792872953033113193273353413493573653733811321[[#This Row],[VENTA SABADO]]</f>
        <v>498</v>
      </c>
      <c r="F134" s="30"/>
      <c r="G134" s="31">
        <v>2</v>
      </c>
      <c r="H134" s="42">
        <v>94</v>
      </c>
      <c r="I134" s="43"/>
      <c r="J134" s="44"/>
      <c r="K134" s="42"/>
      <c r="L134" s="43"/>
      <c r="M134" s="44">
        <v>2</v>
      </c>
      <c r="N134" s="42"/>
      <c r="O134" s="43">
        <v>4</v>
      </c>
      <c r="P134" s="44">
        <v>85</v>
      </c>
      <c r="Q134" s="42"/>
      <c r="R134" s="30">
        <f>Tabla134613212939475563717987951031111191271351431511351591671751831911591671751992072152232312392472552632712792872953033113193273353413493573653733811321[[#This Row],[VENTA LUNES]]+Tabla134613212939475563717987951031111191271351431511351591671751831911591671751992072152232312392472552632712792872953033113193273353413493573653733811321[[#This Row],[VENTA MARTES]]+Tabla134613212939475563717987951031111191271351431511351591671751831911591671751992072152232312392472552632712792872953033113193273353413493573653733811321[[#This Row],[VENTA MIERCOLES]]+Tabla134613212939475563717987951031111191271351431511351591671751831911591671751992072152232312392472552632712792872953033113193273353413493573653733811321[[#This Row],[VENTA JUEVES]]+Tabla134613212939475563717987951031111191271351431511351591671751831911591671751992072152232312392472552632712792872953033113193273353413493573653733811321[[#This Row],[VENTA VIERNES]]+Tabla134613212939475563717987951031111191271351431511351591671751831911591671751992072152232312392472552632712792872953033113193273353413493573653733811321[[#This Row],[VENTA SABADO]]</f>
        <v>8</v>
      </c>
    </row>
    <row r="136" spans="2:18" s="54" customFormat="1" ht="38.25" x14ac:dyDescent="0.2">
      <c r="B136" s="17" t="s">
        <v>264</v>
      </c>
      <c r="C136" s="17" t="s">
        <v>5</v>
      </c>
      <c r="D136" s="17" t="s">
        <v>6</v>
      </c>
      <c r="E136" s="37" t="s">
        <v>7</v>
      </c>
      <c r="F136" s="17" t="s">
        <v>8</v>
      </c>
      <c r="G136" s="17" t="s">
        <v>51</v>
      </c>
      <c r="H136" s="17" t="s">
        <v>10</v>
      </c>
      <c r="I136" s="17" t="s">
        <v>11</v>
      </c>
      <c r="J136" s="17" t="s">
        <v>12</v>
      </c>
      <c r="K136" s="17" t="s">
        <v>13</v>
      </c>
      <c r="L136" s="17" t="s">
        <v>14</v>
      </c>
      <c r="M136" s="17" t="s">
        <v>15</v>
      </c>
      <c r="N136" s="17" t="s">
        <v>16</v>
      </c>
      <c r="O136" s="17" t="s">
        <v>17</v>
      </c>
      <c r="P136" s="17" t="s">
        <v>18</v>
      </c>
      <c r="Q136" s="17" t="s">
        <v>19</v>
      </c>
      <c r="R136" s="17" t="s">
        <v>20</v>
      </c>
    </row>
    <row r="137" spans="2:18" x14ac:dyDescent="0.2">
      <c r="B137" s="22" t="s">
        <v>216</v>
      </c>
      <c r="C137" s="23" t="s">
        <v>265</v>
      </c>
      <c r="D137" s="24">
        <f>Tabla13467142230404856647280889610411212012813614415213616016817618419216016817620020821622423224024825626427228028829630431232032833634235035836637438214[[#This Row],[STOCK]]</f>
        <v>544</v>
      </c>
      <c r="E137" s="25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542</v>
      </c>
      <c r="F137" s="23"/>
      <c r="G137" s="24"/>
      <c r="H137" s="39"/>
      <c r="I137" s="40"/>
      <c r="J137" s="41"/>
      <c r="K137" s="39"/>
      <c r="L137" s="40"/>
      <c r="M137" s="41"/>
      <c r="N137" s="39"/>
      <c r="O137" s="40">
        <v>2</v>
      </c>
      <c r="P137" s="41"/>
      <c r="Q137" s="39"/>
      <c r="R137" s="23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2</v>
      </c>
    </row>
    <row r="138" spans="2:18" x14ac:dyDescent="0.2">
      <c r="B138" s="29" t="s">
        <v>218</v>
      </c>
      <c r="C138" s="30" t="s">
        <v>266</v>
      </c>
      <c r="D138" s="31">
        <f>Tabla13467142230404856647280889610411212012813614415213616016817618419216016817620020821622423224024825626427228028829630431232032833634235035836637438214[[#This Row],[STOCK]]</f>
        <v>373</v>
      </c>
      <c r="E138" s="32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370</v>
      </c>
      <c r="F138" s="30"/>
      <c r="G138" s="31"/>
      <c r="H138" s="42"/>
      <c r="I138" s="43">
        <v>2</v>
      </c>
      <c r="J138" s="44"/>
      <c r="K138" s="42"/>
      <c r="L138" s="43"/>
      <c r="M138" s="44"/>
      <c r="N138" s="42"/>
      <c r="O138" s="43">
        <v>1</v>
      </c>
      <c r="P138" s="44"/>
      <c r="Q138" s="42"/>
      <c r="R138" s="30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3</v>
      </c>
    </row>
    <row r="139" spans="2:18" x14ac:dyDescent="0.2">
      <c r="B139" s="22" t="s">
        <v>267</v>
      </c>
      <c r="C139" s="23" t="s">
        <v>268</v>
      </c>
      <c r="D139" s="24">
        <f>Tabla13467142230404856647280889610411212012813614415213616016817618419216016817620020821622423224024825626427228028829630431232032833634235035836637438214[[#This Row],[STOCK]]</f>
        <v>127</v>
      </c>
      <c r="E139" s="25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125</v>
      </c>
      <c r="F139" s="23"/>
      <c r="G139" s="24"/>
      <c r="H139" s="39"/>
      <c r="I139" s="40"/>
      <c r="J139" s="41"/>
      <c r="K139" s="39"/>
      <c r="L139" s="40"/>
      <c r="M139" s="41"/>
      <c r="N139" s="39"/>
      <c r="O139" s="40">
        <v>2</v>
      </c>
      <c r="P139" s="41"/>
      <c r="Q139" s="39"/>
      <c r="R139" s="23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2</v>
      </c>
    </row>
    <row r="140" spans="2:18" x14ac:dyDescent="0.2">
      <c r="B140" s="29" t="s">
        <v>269</v>
      </c>
      <c r="C140" s="30" t="s">
        <v>270</v>
      </c>
      <c r="D140" s="31">
        <f>Tabla13467142230404856647280889610411212012813614415213616016817618419216016817620020821622423224024825626427228028829630431232032833634235035836637438214[[#This Row],[STOCK]]</f>
        <v>745</v>
      </c>
      <c r="E140" s="32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741</v>
      </c>
      <c r="F140" s="30"/>
      <c r="G140" s="31"/>
      <c r="H140" s="42"/>
      <c r="I140" s="43">
        <v>2</v>
      </c>
      <c r="J140" s="44"/>
      <c r="K140" s="42"/>
      <c r="L140" s="43"/>
      <c r="M140" s="44"/>
      <c r="N140" s="42"/>
      <c r="O140" s="43">
        <v>2</v>
      </c>
      <c r="P140" s="44"/>
      <c r="Q140" s="42"/>
      <c r="R140" s="30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4</v>
      </c>
    </row>
    <row r="141" spans="2:18" x14ac:dyDescent="0.2">
      <c r="B141" s="22" t="s">
        <v>224</v>
      </c>
      <c r="C141" s="23" t="s">
        <v>271</v>
      </c>
      <c r="D141" s="24">
        <f>Tabla13467142230404856647280889610411212012813614415213616016817618419216016817620020821622423224024825626427228028829630431232032833634235035836637438214[[#This Row],[STOCK]]</f>
        <v>302</v>
      </c>
      <c r="E141" s="25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300</v>
      </c>
      <c r="F141" s="23"/>
      <c r="G141" s="24"/>
      <c r="H141" s="39"/>
      <c r="I141" s="40"/>
      <c r="J141" s="41"/>
      <c r="K141" s="39"/>
      <c r="L141" s="40"/>
      <c r="M141" s="41"/>
      <c r="N141" s="39"/>
      <c r="O141" s="40">
        <v>2</v>
      </c>
      <c r="P141" s="41"/>
      <c r="Q141" s="39"/>
      <c r="R141" s="23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2</v>
      </c>
    </row>
    <row r="142" spans="2:18" x14ac:dyDescent="0.2">
      <c r="B142" s="29" t="s">
        <v>272</v>
      </c>
      <c r="C142" s="30" t="s">
        <v>273</v>
      </c>
      <c r="D142" s="31">
        <f>Tabla13467142230404856647280889610411212012813614415213616016817618419216016817620020821622423224024825626427228028829630431232032833634235035836637438214[[#This Row],[STOCK]]</f>
        <v>493</v>
      </c>
      <c r="E142" s="32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491</v>
      </c>
      <c r="F142" s="30"/>
      <c r="G142" s="31"/>
      <c r="H142" s="42"/>
      <c r="I142" s="43"/>
      <c r="J142" s="44"/>
      <c r="K142" s="42"/>
      <c r="L142" s="43"/>
      <c r="M142" s="44"/>
      <c r="N142" s="42"/>
      <c r="O142" s="43">
        <v>2</v>
      </c>
      <c r="P142" s="44"/>
      <c r="Q142" s="42"/>
      <c r="R142" s="30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2</v>
      </c>
    </row>
    <row r="143" spans="2:18" x14ac:dyDescent="0.2">
      <c r="B143" s="22" t="s">
        <v>204</v>
      </c>
      <c r="C143" s="23" t="s">
        <v>274</v>
      </c>
      <c r="D143" s="24">
        <f>Tabla13467142230404856647280889610411212012813614415213616016817618419216016817620020821622423224024825626427228028829630431232032833634235035836637438214[[#This Row],[STOCK]]</f>
        <v>306</v>
      </c>
      <c r="E143" s="25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304</v>
      </c>
      <c r="F143" s="23"/>
      <c r="G143" s="24"/>
      <c r="H143" s="39"/>
      <c r="I143" s="40">
        <v>2</v>
      </c>
      <c r="J143" s="41"/>
      <c r="K143" s="39"/>
      <c r="L143" s="40"/>
      <c r="M143" s="41"/>
      <c r="N143" s="39"/>
      <c r="O143" s="40"/>
      <c r="P143" s="41"/>
      <c r="Q143" s="39"/>
      <c r="R143" s="23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2</v>
      </c>
    </row>
    <row r="144" spans="2:18" x14ac:dyDescent="0.2">
      <c r="B144" s="29" t="s">
        <v>206</v>
      </c>
      <c r="C144" s="30" t="s">
        <v>275</v>
      </c>
      <c r="D144" s="31">
        <f>Tabla13467142230404856647280889610411212012813614415213616016817618419216016817620020821622423224024825626427228028829630431232032833634235035836637438214[[#This Row],[STOCK]]</f>
        <v>351</v>
      </c>
      <c r="E144" s="32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351</v>
      </c>
      <c r="F144" s="30"/>
      <c r="G144" s="31"/>
      <c r="H144" s="42"/>
      <c r="I144" s="43"/>
      <c r="J144" s="44"/>
      <c r="K144" s="42"/>
      <c r="L144" s="43"/>
      <c r="M144" s="44"/>
      <c r="N144" s="42"/>
      <c r="O144" s="43"/>
      <c r="P144" s="44"/>
      <c r="Q144" s="42"/>
      <c r="R144" s="30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0</v>
      </c>
    </row>
    <row r="145" spans="1:18" x14ac:dyDescent="0.2">
      <c r="B145" s="22" t="s">
        <v>276</v>
      </c>
      <c r="C145" s="23" t="s">
        <v>277</v>
      </c>
      <c r="D145" s="24">
        <f>Tabla13467142230404856647280889610411212012813614415213616016817618419216016817620020821622423224024825626427228028829630431232032833634235035836637438214[[#This Row],[STOCK]]</f>
        <v>509</v>
      </c>
      <c r="E145" s="25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507</v>
      </c>
      <c r="F145" s="23"/>
      <c r="G145" s="24"/>
      <c r="H145" s="39"/>
      <c r="I145" s="40">
        <v>2</v>
      </c>
      <c r="J145" s="41"/>
      <c r="K145" s="39"/>
      <c r="L145" s="40"/>
      <c r="M145" s="41"/>
      <c r="N145" s="39"/>
      <c r="O145" s="40"/>
      <c r="P145" s="41"/>
      <c r="Q145" s="39"/>
      <c r="R145" s="23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2</v>
      </c>
    </row>
    <row r="146" spans="1:18" x14ac:dyDescent="0.2">
      <c r="B146" s="29" t="s">
        <v>278</v>
      </c>
      <c r="C146" s="30" t="s">
        <v>279</v>
      </c>
      <c r="D146" s="31">
        <f>Tabla13467142230404856647280889610411212012813614415213616016817618419216016817620020821622423224024825626427228028829630431232032833634235035836637438214[[#This Row],[STOCK]]</f>
        <v>262</v>
      </c>
      <c r="E146" s="32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260</v>
      </c>
      <c r="F146" s="30"/>
      <c r="G146" s="31"/>
      <c r="H146" s="42"/>
      <c r="I146" s="43">
        <v>2</v>
      </c>
      <c r="J146" s="44"/>
      <c r="K146" s="42"/>
      <c r="L146" s="43"/>
      <c r="M146" s="44"/>
      <c r="N146" s="42"/>
      <c r="O146" s="43"/>
      <c r="P146" s="44"/>
      <c r="Q146" s="42"/>
      <c r="R146" s="30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2</v>
      </c>
    </row>
    <row r="147" spans="1:18" x14ac:dyDescent="0.2">
      <c r="B147" s="22" t="s">
        <v>280</v>
      </c>
      <c r="C147" s="23" t="s">
        <v>281</v>
      </c>
      <c r="D147" s="24">
        <f>Tabla13467142230404856647280889610411212012813614415213616016817618419216016817620020821622423224024825626427228028829630431232032833634235035836637438214[[#This Row],[STOCK]]</f>
        <v>112</v>
      </c>
      <c r="E147" s="25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109</v>
      </c>
      <c r="F147" s="23"/>
      <c r="G147" s="24"/>
      <c r="H147" s="39"/>
      <c r="I147" s="40">
        <v>3</v>
      </c>
      <c r="J147" s="41"/>
      <c r="K147" s="39"/>
      <c r="L147" s="40"/>
      <c r="M147" s="41"/>
      <c r="N147" s="39"/>
      <c r="O147" s="40"/>
      <c r="P147" s="41"/>
      <c r="Q147" s="39"/>
      <c r="R147" s="23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3</v>
      </c>
    </row>
    <row r="148" spans="1:18" x14ac:dyDescent="0.2">
      <c r="B148" s="29" t="s">
        <v>214</v>
      </c>
      <c r="C148" s="30" t="s">
        <v>282</v>
      </c>
      <c r="D148" s="31">
        <f>Tabla13467142230404856647280889610411212012813614415213616016817618419216016817620020821622423224024825626427228028829630431232032833634235035836637438214[[#This Row],[STOCK]]</f>
        <v>291</v>
      </c>
      <c r="E148" s="32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289</v>
      </c>
      <c r="F148" s="30"/>
      <c r="G148" s="31"/>
      <c r="H148" s="42"/>
      <c r="I148" s="43">
        <v>2</v>
      </c>
      <c r="J148" s="44"/>
      <c r="K148" s="42"/>
      <c r="L148" s="43"/>
      <c r="M148" s="44"/>
      <c r="N148" s="42"/>
      <c r="O148" s="43"/>
      <c r="P148" s="44"/>
      <c r="Q148" s="42"/>
      <c r="R148" s="30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2</v>
      </c>
    </row>
    <row r="149" spans="1:18" x14ac:dyDescent="0.2">
      <c r="B149" s="22" t="s">
        <v>283</v>
      </c>
      <c r="C149" s="23" t="s">
        <v>284</v>
      </c>
      <c r="D149" s="24">
        <f>Tabla13467142230404856647280889610411212012813614415213616016817618419216016817620020821622423224024825626427228028829630431232032833634235035836637438214[[#This Row],[STOCK]]</f>
        <v>340</v>
      </c>
      <c r="E149" s="25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330</v>
      </c>
      <c r="F149" s="23"/>
      <c r="G149" s="24">
        <v>3</v>
      </c>
      <c r="H149" s="39"/>
      <c r="I149" s="40">
        <v>2</v>
      </c>
      <c r="J149" s="41"/>
      <c r="K149" s="39"/>
      <c r="L149" s="40"/>
      <c r="M149" s="41">
        <v>1</v>
      </c>
      <c r="N149" s="39"/>
      <c r="O149" s="40">
        <v>4</v>
      </c>
      <c r="P149" s="41"/>
      <c r="Q149" s="39"/>
      <c r="R149" s="23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10</v>
      </c>
    </row>
    <row r="150" spans="1:18" x14ac:dyDescent="0.2">
      <c r="A150" t="s">
        <v>285</v>
      </c>
      <c r="B150" s="29" t="s">
        <v>194</v>
      </c>
      <c r="C150" s="30" t="s">
        <v>286</v>
      </c>
      <c r="D150" s="31">
        <f>Tabla13467142230404856647280889610411212012813614415213616016817618419216016817620020821622423224024825626427228028829630431232032833634235035836637438214[[#This Row],[STOCK]]</f>
        <v>471</v>
      </c>
      <c r="E150" s="32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464</v>
      </c>
      <c r="F150" s="30"/>
      <c r="G150" s="31"/>
      <c r="H150" s="42"/>
      <c r="I150" s="43">
        <v>3</v>
      </c>
      <c r="J150" s="44"/>
      <c r="K150" s="42"/>
      <c r="L150" s="43"/>
      <c r="M150" s="44"/>
      <c r="N150" s="42"/>
      <c r="O150" s="43">
        <v>4</v>
      </c>
      <c r="P150" s="44"/>
      <c r="Q150" s="42"/>
      <c r="R150" s="30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7</v>
      </c>
    </row>
    <row r="151" spans="1:18" x14ac:dyDescent="0.2">
      <c r="B151" s="22" t="s">
        <v>287</v>
      </c>
      <c r="C151" s="23" t="s">
        <v>288</v>
      </c>
      <c r="D151" s="24">
        <f>Tabla13467142230404856647280889610411212012813614415213616016817618419216016817620020821622423224024825626427228028829630431232032833634235035836637438214[[#This Row],[STOCK]]</f>
        <v>519</v>
      </c>
      <c r="E151" s="25">
        <f>Tabla1346714223040485664728088961041121201281361441521361601681761841921601681762002082162242322402482562642722802882963043123203283363423503583663743821422[[#This Row],[INVENTARIO INICIAL]]+Tabla1346714223040485664728088961041121201281361441521361601681761841921601681762002082162242322402482562642722802882963043123203283363423503583663743821422[[#This Row],[INGRESO LUNES]]-Tabla1346714223040485664728088961041121201281361441521361601681761841921601681762002082162242322402482562642722802882963043123203283363423503583663743821422[[#This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Row],[INGRESO MARTES]]-Tabla1346714223040485664728088961041121201281361441521361601681761841921601681762002082162242322402482562642722802882963043123203283363423503583663743821422[[#This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Row],[INGRESO MIERCOLES]]-Tabla1346714223040485664728088961041121201281361441521361601681761841921601681762002082162242322402482562642722802882963043123203283363423503583663743821422[[#This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Row],[INGRESO JUEVES]]-Tabla1346714223040485664728088961041121201281361441521361601681761841921601681762002082162242322402482562642722802882963043123203283363423503583663743821422[[#This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Row],[INGRESO VIERNES]]-Tabla1346714223040485664728088961041121201281361441521361601681761841921601681762002082162242322402482562642722802882963043123203283363423503583663743821422[[#This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 INGRESO SABADO]]-Tabla1346714223040485664728088961041121201281361441521361601681761841921601681762002082162242322402482562642722802882963043123203283363423503583663743821422[[#This Row],[VENTA SABADO]]</f>
        <v>509</v>
      </c>
      <c r="F151" s="23"/>
      <c r="G151" s="24"/>
      <c r="H151" s="39"/>
      <c r="I151" s="40">
        <v>2</v>
      </c>
      <c r="J151" s="41"/>
      <c r="K151" s="39"/>
      <c r="L151" s="40"/>
      <c r="M151" s="41"/>
      <c r="N151" s="39"/>
      <c r="O151" s="40">
        <v>8</v>
      </c>
      <c r="P151" s="41"/>
      <c r="Q151" s="39"/>
      <c r="R151" s="23">
        <f>Tabla1346714223040485664728088961041121201281361441521361601681761841921601681762002082162242322402482562642722802882963043123203283363423503583663743821422[[#This Row],[VENTA LUNES]]+Tabla1346714223040485664728088961041121201281361441521361601681761841921601681762002082162242322402482562642722802882963043123203283363423503583663743821422[[#This Row],[VENTA MARTES]]+Tabla1346714223040485664728088961041121201281361441521361601681761841921601681762002082162242322402482562642722802882963043123203283363423503583663743821422[[#This Row],[VENTA MIERCOLES]]+Tabla1346714223040485664728088961041121201281361441521361601681761841921601681762002082162242322402482562642722802882963043123203283363423503583663743821422[[#This Row],[VENTA JUEVES]]+Tabla1346714223040485664728088961041121201281361441521361601681761841921601681762002082162242322402482562642722802882963043123203283363423503583663743821422[[#This Row],[VENTA VIERNES]]+Tabla1346714223040485664728088961041121201281361441521361601681761841921601681762002082162242322402482562642722802882963043123203283363423503583663743821422[[#This Row],[VENTA SABADO]]</f>
        <v>10</v>
      </c>
    </row>
    <row r="153" spans="1:18" s="54" customFormat="1" ht="38.25" x14ac:dyDescent="0.2">
      <c r="B153" s="17" t="s">
        <v>289</v>
      </c>
      <c r="C153" s="17" t="s">
        <v>5</v>
      </c>
      <c r="D153" s="17" t="s">
        <v>6</v>
      </c>
      <c r="E153" s="37" t="s">
        <v>7</v>
      </c>
      <c r="F153" s="17" t="s">
        <v>8</v>
      </c>
      <c r="G153" s="17" t="s">
        <v>51</v>
      </c>
      <c r="H153" s="17" t="s">
        <v>10</v>
      </c>
      <c r="I153" s="17" t="s">
        <v>11</v>
      </c>
      <c r="J153" s="17" t="s">
        <v>12</v>
      </c>
      <c r="K153" s="17" t="s">
        <v>13</v>
      </c>
      <c r="L153" s="17" t="s">
        <v>14</v>
      </c>
      <c r="M153" s="17" t="s">
        <v>15</v>
      </c>
      <c r="N153" s="17" t="s">
        <v>16</v>
      </c>
      <c r="O153" s="17" t="s">
        <v>17</v>
      </c>
      <c r="P153" s="17" t="s">
        <v>18</v>
      </c>
      <c r="Q153" s="17" t="s">
        <v>19</v>
      </c>
      <c r="R153" s="17" t="s">
        <v>20</v>
      </c>
    </row>
    <row r="154" spans="1:18" x14ac:dyDescent="0.2">
      <c r="B154" s="22" t="s">
        <v>290</v>
      </c>
      <c r="C154" s="23" t="s">
        <v>291</v>
      </c>
      <c r="D154" s="24">
        <f>Tabla13468152331414957657381899710511312112913714515313716116917718519316116917720120921722523324124925726527328128929730531332132933734335135936737538315[[#This Row],[STOCK]]</f>
        <v>768</v>
      </c>
      <c r="E154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765</v>
      </c>
      <c r="F154" s="23"/>
      <c r="G154" s="24"/>
      <c r="H154" s="39"/>
      <c r="I154" s="40"/>
      <c r="J154" s="41"/>
      <c r="K154" s="39"/>
      <c r="L154" s="40"/>
      <c r="M154" s="41"/>
      <c r="N154" s="39"/>
      <c r="O154" s="40">
        <v>3</v>
      </c>
      <c r="P154" s="41"/>
      <c r="Q154" s="39"/>
      <c r="R154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3</v>
      </c>
    </row>
    <row r="155" spans="1:18" x14ac:dyDescent="0.2">
      <c r="B155" s="29" t="s">
        <v>292</v>
      </c>
      <c r="C155" s="30" t="s">
        <v>293</v>
      </c>
      <c r="D155" s="31">
        <f>Tabla13468152331414957657381899710511312112913714515313716116917718519316116917720120921722523324124925726527328128929730531332132933734335135936737538315[[#This Row],[STOCK]]</f>
        <v>497</v>
      </c>
      <c r="E155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494</v>
      </c>
      <c r="F155" s="30"/>
      <c r="G155" s="31"/>
      <c r="H155" s="42"/>
      <c r="I155" s="43"/>
      <c r="J155" s="44"/>
      <c r="K155" s="42"/>
      <c r="L155" s="43"/>
      <c r="M155" s="44">
        <v>3</v>
      </c>
      <c r="N155" s="42"/>
      <c r="O155" s="43"/>
      <c r="P155" s="44"/>
      <c r="Q155" s="42"/>
      <c r="R155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3</v>
      </c>
    </row>
    <row r="156" spans="1:18" ht="13.5" customHeight="1" x14ac:dyDescent="0.2">
      <c r="B156" s="22" t="s">
        <v>294</v>
      </c>
      <c r="C156" s="23" t="s">
        <v>295</v>
      </c>
      <c r="D156" s="24">
        <f>Tabla13468152331414957657381899710511312112913714515313716116917718519316116917720120921722523324124925726527328128929730531332132933734335135936737538315[[#This Row],[STOCK]]</f>
        <v>347</v>
      </c>
      <c r="E156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337</v>
      </c>
      <c r="F156" s="23"/>
      <c r="G156" s="24"/>
      <c r="H156" s="39"/>
      <c r="I156" s="40"/>
      <c r="J156" s="41"/>
      <c r="K156" s="39"/>
      <c r="L156" s="40"/>
      <c r="M156" s="41"/>
      <c r="N156" s="39"/>
      <c r="O156" s="40">
        <v>10</v>
      </c>
      <c r="P156" s="41"/>
      <c r="Q156" s="39"/>
      <c r="R156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10</v>
      </c>
    </row>
    <row r="157" spans="1:18" x14ac:dyDescent="0.2">
      <c r="B157" s="29" t="s">
        <v>296</v>
      </c>
      <c r="C157" s="30" t="s">
        <v>297</v>
      </c>
      <c r="D157" s="31">
        <f>Tabla13468152331414957657381899710511312112913714515313716116917718519316116917720120921722523324124925726527328128929730531332132933734335135936737538315[[#This Row],[STOCK]]</f>
        <v>652</v>
      </c>
      <c r="E157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652</v>
      </c>
      <c r="F157" s="30"/>
      <c r="G157" s="31"/>
      <c r="H157" s="42"/>
      <c r="I157" s="43"/>
      <c r="J157" s="44"/>
      <c r="K157" s="42"/>
      <c r="L157" s="43"/>
      <c r="M157" s="44"/>
      <c r="N157" s="42"/>
      <c r="O157" s="43"/>
      <c r="P157" s="44"/>
      <c r="Q157" s="42"/>
      <c r="R157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58" spans="1:18" x14ac:dyDescent="0.2">
      <c r="B158" s="22" t="s">
        <v>298</v>
      </c>
      <c r="C158" s="23" t="s">
        <v>299</v>
      </c>
      <c r="D158" s="24">
        <f>Tabla13468152331414957657381899710511312112913714515313716116917718519316116917720120921722523324124925726527328128929730531332132933734335135936737538315[[#This Row],[STOCK]]</f>
        <v>836</v>
      </c>
      <c r="E158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836</v>
      </c>
      <c r="F158" s="23"/>
      <c r="G158" s="24"/>
      <c r="H158" s="39"/>
      <c r="I158" s="40"/>
      <c r="J158" s="41"/>
      <c r="K158" s="39"/>
      <c r="L158" s="40"/>
      <c r="M158" s="41"/>
      <c r="N158" s="39"/>
      <c r="O158" s="40"/>
      <c r="P158" s="41"/>
      <c r="Q158" s="39"/>
      <c r="R158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59" spans="1:18" x14ac:dyDescent="0.2">
      <c r="B159" s="29" t="s">
        <v>300</v>
      </c>
      <c r="C159" s="30" t="s">
        <v>301</v>
      </c>
      <c r="D159" s="31">
        <f>Tabla13468152331414957657381899710511312112913714515313716116917718519316116917720120921722523324124925726527328128929730531332132933734335135936737538315[[#This Row],[STOCK]]</f>
        <v>37</v>
      </c>
      <c r="E159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27</v>
      </c>
      <c r="F159" s="30"/>
      <c r="G159" s="31"/>
      <c r="H159" s="42"/>
      <c r="I159" s="43"/>
      <c r="J159" s="44"/>
      <c r="K159" s="42"/>
      <c r="L159" s="43"/>
      <c r="M159" s="44"/>
      <c r="N159" s="42"/>
      <c r="O159" s="43">
        <v>10</v>
      </c>
      <c r="P159" s="44"/>
      <c r="Q159" s="42"/>
      <c r="R159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10</v>
      </c>
    </row>
    <row r="160" spans="1:18" x14ac:dyDescent="0.2">
      <c r="B160" s="22" t="s">
        <v>302</v>
      </c>
      <c r="C160" s="23" t="s">
        <v>303</v>
      </c>
      <c r="D160" s="24">
        <f>Tabla13468152331414957657381899710511312112913714515313716116917718519316116917720120921722523324124925726527328128929730531332132933734335135936737538315[[#This Row],[STOCK]]</f>
        <v>647</v>
      </c>
      <c r="E160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647</v>
      </c>
      <c r="F160" s="23"/>
      <c r="G160" s="24"/>
      <c r="H160" s="39"/>
      <c r="I160" s="40"/>
      <c r="J160" s="41"/>
      <c r="K160" s="39"/>
      <c r="L160" s="40"/>
      <c r="M160" s="41"/>
      <c r="N160" s="39"/>
      <c r="O160" s="40"/>
      <c r="P160" s="41"/>
      <c r="Q160" s="39"/>
      <c r="R160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61" spans="2:18" x14ac:dyDescent="0.2">
      <c r="B161" s="29" t="s">
        <v>304</v>
      </c>
      <c r="C161" s="30" t="s">
        <v>305</v>
      </c>
      <c r="D161" s="31">
        <f>Tabla13468152331414957657381899710511312112913714515313716116917718519316116917720120921722523324124925726527328128929730531332132933734335135936737538315[[#This Row],[STOCK]]</f>
        <v>583</v>
      </c>
      <c r="E161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568</v>
      </c>
      <c r="F161" s="30"/>
      <c r="G161" s="31"/>
      <c r="H161" s="42"/>
      <c r="I161" s="43">
        <v>15</v>
      </c>
      <c r="J161" s="44"/>
      <c r="K161" s="42"/>
      <c r="L161" s="43"/>
      <c r="M161" s="44"/>
      <c r="N161" s="42"/>
      <c r="O161" s="43"/>
      <c r="P161" s="44"/>
      <c r="Q161" s="42"/>
      <c r="R161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15</v>
      </c>
    </row>
    <row r="162" spans="2:18" x14ac:dyDescent="0.2">
      <c r="B162" s="22" t="s">
        <v>306</v>
      </c>
      <c r="C162" s="23" t="s">
        <v>307</v>
      </c>
      <c r="D162" s="24">
        <f>Tabla13468152331414957657381899710511312112913714515313716116917718519316116917720120921722523324124925726527328128929730531332132933734335135936737538315[[#This Row],[STOCK]]</f>
        <v>575</v>
      </c>
      <c r="E162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575</v>
      </c>
      <c r="F162" s="23"/>
      <c r="G162" s="24"/>
      <c r="H162" s="39"/>
      <c r="I162" s="40"/>
      <c r="J162" s="41"/>
      <c r="K162" s="39"/>
      <c r="L162" s="40"/>
      <c r="M162" s="41"/>
      <c r="N162" s="39"/>
      <c r="O162" s="40"/>
      <c r="P162" s="41"/>
      <c r="Q162" s="39"/>
      <c r="R162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63" spans="2:18" x14ac:dyDescent="0.2">
      <c r="B163" s="29" t="s">
        <v>308</v>
      </c>
      <c r="C163" s="30" t="s">
        <v>309</v>
      </c>
      <c r="D163" s="31">
        <f>Tabla13468152331414957657381899710511312112913714515313716116917718519316116917720120921722523324124925726527328128929730531332132933734335135936737538315[[#This Row],[STOCK]]</f>
        <v>468</v>
      </c>
      <c r="E163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468</v>
      </c>
      <c r="F163" s="30"/>
      <c r="G163" s="31"/>
      <c r="H163" s="42"/>
      <c r="I163" s="43"/>
      <c r="J163" s="44"/>
      <c r="K163" s="42"/>
      <c r="L163" s="43"/>
      <c r="M163" s="44"/>
      <c r="N163" s="42"/>
      <c r="O163" s="43"/>
      <c r="P163" s="44"/>
      <c r="Q163" s="42"/>
      <c r="R163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64" spans="2:18" x14ac:dyDescent="0.2">
      <c r="B164" s="22" t="s">
        <v>310</v>
      </c>
      <c r="C164" s="23" t="s">
        <v>311</v>
      </c>
      <c r="D164" s="24">
        <f>Tabla13468152331414957657381899710511312112913714515313716116917718519316116917720120921722523324124925726527328128929730531332132933734335135936737538315[[#This Row],[STOCK]]</f>
        <v>537</v>
      </c>
      <c r="E164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537</v>
      </c>
      <c r="F164" s="23"/>
      <c r="G164" s="24"/>
      <c r="H164" s="39"/>
      <c r="I164" s="40"/>
      <c r="J164" s="41"/>
      <c r="K164" s="39"/>
      <c r="L164" s="40"/>
      <c r="M164" s="41"/>
      <c r="N164" s="39"/>
      <c r="O164" s="40"/>
      <c r="P164" s="41"/>
      <c r="Q164" s="39"/>
      <c r="R164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65" spans="2:18" x14ac:dyDescent="0.2">
      <c r="B165" s="29" t="s">
        <v>312</v>
      </c>
      <c r="C165" s="30" t="s">
        <v>313</v>
      </c>
      <c r="D165" s="31">
        <f>Tabla13468152331414957657381899710511312112913714515313716116917718519316116917720120921722523324124925726527328128929730531332132933734335135936737538315[[#This Row],[STOCK]]</f>
        <v>20</v>
      </c>
      <c r="E165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20</v>
      </c>
      <c r="F165" s="30"/>
      <c r="G165" s="31"/>
      <c r="H165" s="42"/>
      <c r="I165" s="43"/>
      <c r="J165" s="44"/>
      <c r="K165" s="42"/>
      <c r="L165" s="43"/>
      <c r="M165" s="44"/>
      <c r="N165" s="42"/>
      <c r="O165" s="43"/>
      <c r="P165" s="44"/>
      <c r="Q165" s="42"/>
      <c r="R165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66" spans="2:18" x14ac:dyDescent="0.2">
      <c r="B166" s="22" t="s">
        <v>314</v>
      </c>
      <c r="C166" s="23" t="s">
        <v>315</v>
      </c>
      <c r="D166" s="24">
        <f>Tabla13468152331414957657381899710511312112913714515313716116917718519316116917720120921722523324124925726527328128929730531332132933734335135936737538315[[#This Row],[STOCK]]</f>
        <v>54</v>
      </c>
      <c r="E166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54</v>
      </c>
      <c r="F166" s="23"/>
      <c r="G166" s="24"/>
      <c r="H166" s="39"/>
      <c r="I166" s="40"/>
      <c r="J166" s="41"/>
      <c r="K166" s="39"/>
      <c r="L166" s="40"/>
      <c r="M166" s="41"/>
      <c r="N166" s="39"/>
      <c r="O166" s="40"/>
      <c r="P166" s="41"/>
      <c r="Q166" s="39"/>
      <c r="R166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67" spans="2:18" x14ac:dyDescent="0.2">
      <c r="B167" s="29" t="s">
        <v>316</v>
      </c>
      <c r="C167" s="30" t="s">
        <v>317</v>
      </c>
      <c r="D167" s="31">
        <f>Tabla13468152331414957657381899710511312112913714515313716116917718519316116917720120921722523324124925726527328128929730531332132933734335135936737538315[[#This Row],[STOCK]]</f>
        <v>0</v>
      </c>
      <c r="E167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0</v>
      </c>
      <c r="F167" s="30"/>
      <c r="G167" s="31"/>
      <c r="H167" s="42"/>
      <c r="I167" s="43"/>
      <c r="J167" s="44"/>
      <c r="K167" s="42"/>
      <c r="L167" s="43"/>
      <c r="M167" s="44"/>
      <c r="N167" s="42"/>
      <c r="O167" s="43"/>
      <c r="P167" s="44"/>
      <c r="Q167" s="42"/>
      <c r="R167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68" spans="2:18" x14ac:dyDescent="0.2">
      <c r="B168" s="22" t="s">
        <v>318</v>
      </c>
      <c r="C168" s="23" t="s">
        <v>319</v>
      </c>
      <c r="D168" s="24">
        <f>Tabla13468152331414957657381899710511312112913714515313716116917718519316116917720120921722523324124925726527328128929730531332132933734335135936737538315[[#This Row],[STOCK]]</f>
        <v>106</v>
      </c>
      <c r="E168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106</v>
      </c>
      <c r="F168" s="23"/>
      <c r="G168" s="24"/>
      <c r="H168" s="39"/>
      <c r="I168" s="40"/>
      <c r="J168" s="41"/>
      <c r="K168" s="39"/>
      <c r="L168" s="40"/>
      <c r="M168" s="41"/>
      <c r="N168" s="39"/>
      <c r="O168" s="40"/>
      <c r="P168" s="41"/>
      <c r="Q168" s="39"/>
      <c r="R168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69" spans="2:18" ht="13.5" customHeight="1" x14ac:dyDescent="0.2">
      <c r="B169" s="29" t="s">
        <v>320</v>
      </c>
      <c r="C169" s="30" t="s">
        <v>321</v>
      </c>
      <c r="D169" s="31">
        <f>Tabla13468152331414957657381899710511312112913714515313716116917718519316116917720120921722523324124925726527328128929730531332132933734335135936737538315[[#This Row],[STOCK]]</f>
        <v>107</v>
      </c>
      <c r="E169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107</v>
      </c>
      <c r="F169" s="30"/>
      <c r="G169" s="31"/>
      <c r="H169" s="42"/>
      <c r="I169" s="43"/>
      <c r="J169" s="44"/>
      <c r="K169" s="42"/>
      <c r="L169" s="43"/>
      <c r="M169" s="44"/>
      <c r="N169" s="42"/>
      <c r="O169" s="43"/>
      <c r="P169" s="44"/>
      <c r="Q169" s="42"/>
      <c r="R169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70" spans="2:18" x14ac:dyDescent="0.2">
      <c r="B170" s="22" t="s">
        <v>322</v>
      </c>
      <c r="C170" s="23" t="s">
        <v>323</v>
      </c>
      <c r="D170" s="24">
        <f>Tabla13468152331414957657381899710511312112913714515313716116917718519316116917720120921722523324124925726527328128929730531332132933734335135936737538315[[#This Row],[STOCK]]</f>
        <v>106</v>
      </c>
      <c r="E170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106</v>
      </c>
      <c r="F170" s="23"/>
      <c r="G170" s="24"/>
      <c r="H170" s="39"/>
      <c r="I170" s="40"/>
      <c r="J170" s="41"/>
      <c r="K170" s="39"/>
      <c r="L170" s="40"/>
      <c r="M170" s="41"/>
      <c r="N170" s="39"/>
      <c r="O170" s="40"/>
      <c r="P170" s="41"/>
      <c r="Q170" s="39"/>
      <c r="R170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71" spans="2:18" x14ac:dyDescent="0.2">
      <c r="B171" s="29" t="s">
        <v>324</v>
      </c>
      <c r="C171" s="30" t="s">
        <v>325</v>
      </c>
      <c r="D171" s="31">
        <f>Tabla13468152331414957657381899710511312112913714515313716116917718519316116917720120921722523324124925726527328128929730531332132933734335135936737538315[[#This Row],[STOCK]]</f>
        <v>113</v>
      </c>
      <c r="E171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113</v>
      </c>
      <c r="F171" s="30"/>
      <c r="G171" s="31"/>
      <c r="H171" s="42"/>
      <c r="I171" s="43"/>
      <c r="J171" s="44"/>
      <c r="K171" s="42"/>
      <c r="L171" s="43"/>
      <c r="M171" s="44"/>
      <c r="N171" s="42"/>
      <c r="O171" s="43"/>
      <c r="P171" s="44"/>
      <c r="Q171" s="42"/>
      <c r="R171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72" spans="2:18" x14ac:dyDescent="0.2">
      <c r="B172" s="22" t="s">
        <v>326</v>
      </c>
      <c r="C172" s="23" t="s">
        <v>327</v>
      </c>
      <c r="D172" s="24">
        <f>Tabla13468152331414957657381899710511312112913714515313716116917718519316116917720120921722523324124925726527328128929730531332132933734335135936737538315[[#This Row],[STOCK]]</f>
        <v>109</v>
      </c>
      <c r="E172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109</v>
      </c>
      <c r="F172" s="23"/>
      <c r="G172" s="24"/>
      <c r="H172" s="39"/>
      <c r="I172" s="40"/>
      <c r="J172" s="41"/>
      <c r="K172" s="39"/>
      <c r="L172" s="40"/>
      <c r="M172" s="41"/>
      <c r="N172" s="39"/>
      <c r="O172" s="40"/>
      <c r="P172" s="41"/>
      <c r="Q172" s="39"/>
      <c r="R172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73" spans="2:18" x14ac:dyDescent="0.2">
      <c r="B173" s="29" t="s">
        <v>328</v>
      </c>
      <c r="C173" s="30" t="s">
        <v>329</v>
      </c>
      <c r="D173" s="31">
        <f>Tabla13468152331414957657381899710511312112913714515313716116917718519316116917720120921722523324124925726527328128929730531332132933734335135936737538315[[#This Row],[STOCK]]</f>
        <v>112</v>
      </c>
      <c r="E173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112</v>
      </c>
      <c r="F173" s="30"/>
      <c r="G173" s="31"/>
      <c r="H173" s="42"/>
      <c r="I173" s="43"/>
      <c r="J173" s="44"/>
      <c r="K173" s="42"/>
      <c r="L173" s="43"/>
      <c r="M173" s="44"/>
      <c r="N173" s="42"/>
      <c r="O173" s="43"/>
      <c r="P173" s="44"/>
      <c r="Q173" s="42"/>
      <c r="R173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74" spans="2:18" x14ac:dyDescent="0.2">
      <c r="B174" s="22" t="s">
        <v>330</v>
      </c>
      <c r="C174" s="23" t="s">
        <v>331</v>
      </c>
      <c r="D174" s="24">
        <f>Tabla13468152331414957657381899710511312112913714515313716116917718519316116917720120921722523324124925726527328128929730531332132933734335135936737538315[[#This Row],[STOCK]]</f>
        <v>76</v>
      </c>
      <c r="E174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71</v>
      </c>
      <c r="F174" s="23"/>
      <c r="G174" s="24"/>
      <c r="H174" s="39"/>
      <c r="I174" s="40">
        <v>5</v>
      </c>
      <c r="J174" s="41"/>
      <c r="K174" s="39"/>
      <c r="L174" s="40"/>
      <c r="M174" s="41"/>
      <c r="N174" s="39"/>
      <c r="O174" s="40"/>
      <c r="P174" s="41"/>
      <c r="Q174" s="39"/>
      <c r="R174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5</v>
      </c>
    </row>
    <row r="175" spans="2:18" x14ac:dyDescent="0.2">
      <c r="B175" s="29" t="s">
        <v>332</v>
      </c>
      <c r="C175" s="30" t="s">
        <v>333</v>
      </c>
      <c r="D175" s="31">
        <f>Tabla13468152331414957657381899710511312112913714515313716116917718519316116917720120921722523324124925726527328128929730531332132933734335135936737538315[[#This Row],[STOCK]]</f>
        <v>147</v>
      </c>
      <c r="E175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147</v>
      </c>
      <c r="F175" s="30"/>
      <c r="G175" s="31"/>
      <c r="H175" s="42"/>
      <c r="I175" s="43"/>
      <c r="J175" s="44"/>
      <c r="K175" s="42"/>
      <c r="L175" s="43"/>
      <c r="M175" s="44"/>
      <c r="N175" s="42"/>
      <c r="O175" s="43"/>
      <c r="P175" s="44"/>
      <c r="Q175" s="42"/>
      <c r="R175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76" spans="2:18" x14ac:dyDescent="0.2">
      <c r="B176" s="22" t="s">
        <v>334</v>
      </c>
      <c r="C176" s="23" t="s">
        <v>335</v>
      </c>
      <c r="D176" s="24">
        <f>Tabla13468152331414957657381899710511312112913714515313716116917718519316116917720120921722523324124925726527328128929730531332132933734335135936737538315[[#This Row],[STOCK]]</f>
        <v>104</v>
      </c>
      <c r="E176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104</v>
      </c>
      <c r="F176" s="23"/>
      <c r="G176" s="24"/>
      <c r="H176" s="39"/>
      <c r="I176" s="40"/>
      <c r="J176" s="41"/>
      <c r="K176" s="39"/>
      <c r="L176" s="40"/>
      <c r="M176" s="41"/>
      <c r="N176" s="39"/>
      <c r="O176" s="40"/>
      <c r="P176" s="41"/>
      <c r="Q176" s="39"/>
      <c r="R176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77" spans="2:18" x14ac:dyDescent="0.2">
      <c r="B177" s="29" t="s">
        <v>336</v>
      </c>
      <c r="C177" s="30" t="s">
        <v>337</v>
      </c>
      <c r="D177" s="31">
        <f>Tabla13468152331414957657381899710511312112913714515313716116917718519316116917720120921722523324124925726527328128929730531332132933734335135936737538315[[#This Row],[STOCK]]</f>
        <v>68</v>
      </c>
      <c r="E177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68</v>
      </c>
      <c r="F177" s="30"/>
      <c r="G177" s="31"/>
      <c r="H177" s="42"/>
      <c r="I177" s="43"/>
      <c r="J177" s="44"/>
      <c r="K177" s="42"/>
      <c r="L177" s="43"/>
      <c r="M177" s="44"/>
      <c r="N177" s="42"/>
      <c r="O177" s="43"/>
      <c r="P177" s="44"/>
      <c r="Q177" s="42"/>
      <c r="R177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78" spans="2:18" x14ac:dyDescent="0.2">
      <c r="B178" s="22" t="s">
        <v>338</v>
      </c>
      <c r="C178" s="23" t="s">
        <v>339</v>
      </c>
      <c r="D178" s="24">
        <f>Tabla13468152331414957657381899710511312112913714515313716116917718519316116917720120921722523324124925726527328128929730531332132933734335135936737538315[[#This Row],[STOCK]]</f>
        <v>0</v>
      </c>
      <c r="E178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0</v>
      </c>
      <c r="F178" s="23"/>
      <c r="G178" s="24"/>
      <c r="H178" s="39"/>
      <c r="I178" s="40"/>
      <c r="J178" s="41"/>
      <c r="K178" s="39"/>
      <c r="L178" s="40"/>
      <c r="M178" s="41"/>
      <c r="N178" s="39"/>
      <c r="O178" s="40"/>
      <c r="P178" s="41"/>
      <c r="Q178" s="39"/>
      <c r="R178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79" spans="2:18" x14ac:dyDescent="0.2">
      <c r="B179" s="29" t="s">
        <v>340</v>
      </c>
      <c r="C179" s="30" t="s">
        <v>341</v>
      </c>
      <c r="D179" s="31">
        <f>Tabla13468152331414957657381899710511312112913714515313716116917718519316116917720120921722523324124925726527328128929730531332132933734335135936737538315[[#This Row],[STOCK]]</f>
        <v>47</v>
      </c>
      <c r="E179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47</v>
      </c>
      <c r="F179" s="30"/>
      <c r="G179" s="31"/>
      <c r="H179" s="42"/>
      <c r="I179" s="43"/>
      <c r="J179" s="44"/>
      <c r="K179" s="42"/>
      <c r="L179" s="43"/>
      <c r="M179" s="44"/>
      <c r="N179" s="42"/>
      <c r="O179" s="43"/>
      <c r="P179" s="44"/>
      <c r="Q179" s="42"/>
      <c r="R179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80" spans="2:18" x14ac:dyDescent="0.2">
      <c r="B180" s="22" t="s">
        <v>342</v>
      </c>
      <c r="C180" s="23" t="s">
        <v>343</v>
      </c>
      <c r="D180" s="24">
        <f>Tabla13468152331414957657381899710511312112913714515313716116917718519316116917720120921722523324124925726527328128929730531332132933734335135936737538315[[#This Row],[STOCK]]</f>
        <v>29</v>
      </c>
      <c r="E180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29</v>
      </c>
      <c r="F180" s="23"/>
      <c r="G180" s="24"/>
      <c r="H180" s="39"/>
      <c r="I180" s="40"/>
      <c r="J180" s="41"/>
      <c r="K180" s="39"/>
      <c r="L180" s="40"/>
      <c r="M180" s="41"/>
      <c r="N180" s="39"/>
      <c r="O180" s="40"/>
      <c r="P180" s="41"/>
      <c r="Q180" s="39"/>
      <c r="R180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81" spans="2:18" x14ac:dyDescent="0.2">
      <c r="B181" s="29" t="s">
        <v>344</v>
      </c>
      <c r="C181" s="30" t="s">
        <v>345</v>
      </c>
      <c r="D181" s="31">
        <f>Tabla13468152331414957657381899710511312112913714515313716116917718519316116917720120921722523324124925726527328128929730531332132933734335135936737538315[[#This Row],[STOCK]]</f>
        <v>195</v>
      </c>
      <c r="E181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195</v>
      </c>
      <c r="F181" s="30"/>
      <c r="G181" s="31"/>
      <c r="H181" s="42"/>
      <c r="I181" s="43"/>
      <c r="J181" s="44"/>
      <c r="K181" s="42"/>
      <c r="L181" s="43"/>
      <c r="M181" s="44"/>
      <c r="N181" s="42"/>
      <c r="O181" s="43"/>
      <c r="P181" s="44"/>
      <c r="Q181" s="42"/>
      <c r="R181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82" spans="2:18" x14ac:dyDescent="0.2">
      <c r="B182" s="22" t="s">
        <v>346</v>
      </c>
      <c r="C182" s="23" t="s">
        <v>347</v>
      </c>
      <c r="D182" s="24">
        <f>Tabla13468152331414957657381899710511312112913714515313716116917718519316116917720120921722523324124925726527328128929730531332132933734335135936737538315[[#This Row],[STOCK]]</f>
        <v>0</v>
      </c>
      <c r="E182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0</v>
      </c>
      <c r="F182" s="23"/>
      <c r="G182" s="24"/>
      <c r="H182" s="39"/>
      <c r="I182" s="40"/>
      <c r="J182" s="41"/>
      <c r="K182" s="39"/>
      <c r="L182" s="40"/>
      <c r="M182" s="41"/>
      <c r="N182" s="39"/>
      <c r="O182" s="40"/>
      <c r="P182" s="41"/>
      <c r="Q182" s="39"/>
      <c r="R182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83" spans="2:18" x14ac:dyDescent="0.2">
      <c r="B183" s="29" t="s">
        <v>348</v>
      </c>
      <c r="C183" s="30" t="s">
        <v>349</v>
      </c>
      <c r="D183" s="31">
        <f>Tabla13468152331414957657381899710511312112913714515313716116917718519316116917720120921722523324124925726527328128929730531332132933734335135936737538315[[#This Row],[STOCK]]</f>
        <v>29</v>
      </c>
      <c r="E183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24</v>
      </c>
      <c r="F183" s="30"/>
      <c r="G183" s="31">
        <v>5</v>
      </c>
      <c r="H183" s="42"/>
      <c r="I183" s="43"/>
      <c r="J183" s="44"/>
      <c r="K183" s="42"/>
      <c r="L183" s="43"/>
      <c r="M183" s="44"/>
      <c r="N183" s="42"/>
      <c r="O183" s="43"/>
      <c r="P183" s="44"/>
      <c r="Q183" s="42"/>
      <c r="R183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5</v>
      </c>
    </row>
    <row r="184" spans="2:18" x14ac:dyDescent="0.2">
      <c r="B184" s="22" t="s">
        <v>350</v>
      </c>
      <c r="C184" s="23" t="s">
        <v>351</v>
      </c>
      <c r="D184" s="24">
        <f>Tabla13468152331414957657381899710511312112913714515313716116917718519316116917720120921722523324124925726527328128929730531332132933734335135936737538315[[#This Row],[STOCK]]</f>
        <v>33</v>
      </c>
      <c r="E184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33</v>
      </c>
      <c r="F184" s="23"/>
      <c r="G184" s="24"/>
      <c r="H184" s="39"/>
      <c r="I184" s="40"/>
      <c r="J184" s="41"/>
      <c r="K184" s="39"/>
      <c r="L184" s="40"/>
      <c r="M184" s="41"/>
      <c r="N184" s="39"/>
      <c r="O184" s="40"/>
      <c r="P184" s="41"/>
      <c r="Q184" s="39"/>
      <c r="R184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85" spans="2:18" x14ac:dyDescent="0.2">
      <c r="B185" s="29" t="s">
        <v>352</v>
      </c>
      <c r="C185" s="30" t="s">
        <v>353</v>
      </c>
      <c r="D185" s="31">
        <f>Tabla13468152331414957657381899710511312112913714515313716116917718519316116917720120921722523324124925726527328128929730531332132933734335135936737538315[[#This Row],[STOCK]]</f>
        <v>0</v>
      </c>
      <c r="E185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0</v>
      </c>
      <c r="F185" s="30"/>
      <c r="G185" s="31"/>
      <c r="H185" s="42"/>
      <c r="I185" s="43"/>
      <c r="J185" s="44"/>
      <c r="K185" s="42"/>
      <c r="L185" s="43"/>
      <c r="M185" s="44"/>
      <c r="N185" s="42"/>
      <c r="O185" s="43"/>
      <c r="P185" s="44"/>
      <c r="Q185" s="42"/>
      <c r="R185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86" spans="2:18" x14ac:dyDescent="0.2">
      <c r="B186" s="22" t="s">
        <v>354</v>
      </c>
      <c r="C186" s="23" t="s">
        <v>355</v>
      </c>
      <c r="D186" s="24">
        <f>Tabla13468152331414957657381899710511312112913714515313716116917718519316116917720120921722523324124925726527328128929730531332132933734335135936737538315[[#This Row],[STOCK]]</f>
        <v>13</v>
      </c>
      <c r="E186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13</v>
      </c>
      <c r="F186" s="23"/>
      <c r="G186" s="24"/>
      <c r="H186" s="39"/>
      <c r="I186" s="40"/>
      <c r="J186" s="41"/>
      <c r="K186" s="39"/>
      <c r="L186" s="40"/>
      <c r="M186" s="41"/>
      <c r="N186" s="39"/>
      <c r="O186" s="40"/>
      <c r="P186" s="41"/>
      <c r="Q186" s="39"/>
      <c r="R186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87" spans="2:18" x14ac:dyDescent="0.2">
      <c r="B187" s="29" t="s">
        <v>356</v>
      </c>
      <c r="C187" s="30" t="s">
        <v>357</v>
      </c>
      <c r="D187" s="31">
        <f>Tabla13468152331414957657381899710511312112913714515313716116917718519316116917720120921722523324124925726527328128929730531332132933734335135936737538315[[#This Row],[STOCK]]</f>
        <v>9</v>
      </c>
      <c r="E187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9</v>
      </c>
      <c r="F187" s="30"/>
      <c r="G187" s="31"/>
      <c r="H187" s="42"/>
      <c r="I187" s="43"/>
      <c r="J187" s="44"/>
      <c r="K187" s="42"/>
      <c r="L187" s="43"/>
      <c r="M187" s="44"/>
      <c r="N187" s="42"/>
      <c r="O187" s="43"/>
      <c r="P187" s="44"/>
      <c r="Q187" s="42"/>
      <c r="R187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88" spans="2:18" x14ac:dyDescent="0.2">
      <c r="B188" s="22" t="s">
        <v>358</v>
      </c>
      <c r="C188" s="23" t="s">
        <v>359</v>
      </c>
      <c r="D188" s="24">
        <f>Tabla13468152331414957657381899710511312112913714515313716116917718519316116917720120921722523324124925726527328128929730531332132933734335135936737538315[[#This Row],[STOCK]]</f>
        <v>0</v>
      </c>
      <c r="E188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0</v>
      </c>
      <c r="F188" s="23"/>
      <c r="G188" s="24"/>
      <c r="H188" s="39"/>
      <c r="I188" s="40"/>
      <c r="J188" s="41"/>
      <c r="K188" s="39"/>
      <c r="L188" s="40"/>
      <c r="M188" s="41"/>
      <c r="N188" s="39"/>
      <c r="O188" s="40"/>
      <c r="P188" s="41"/>
      <c r="Q188" s="39"/>
      <c r="R188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89" spans="2:18" x14ac:dyDescent="0.2">
      <c r="B189" s="29" t="s">
        <v>360</v>
      </c>
      <c r="C189" s="30" t="s">
        <v>361</v>
      </c>
      <c r="D189" s="31">
        <f>Tabla13468152331414957657381899710511312112913714515313716116917718519316116917720120921722523324124925726527328128929730531332132933734335135936737538315[[#This Row],[STOCK]]</f>
        <v>81</v>
      </c>
      <c r="E189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81</v>
      </c>
      <c r="F189" s="30"/>
      <c r="G189" s="31"/>
      <c r="H189" s="42"/>
      <c r="I189" s="43"/>
      <c r="J189" s="44"/>
      <c r="K189" s="42"/>
      <c r="L189" s="43"/>
      <c r="M189" s="44"/>
      <c r="N189" s="42"/>
      <c r="O189" s="43"/>
      <c r="P189" s="44"/>
      <c r="Q189" s="42"/>
      <c r="R189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90" spans="2:18" x14ac:dyDescent="0.2">
      <c r="B190" s="22" t="s">
        <v>362</v>
      </c>
      <c r="C190" s="23" t="s">
        <v>363</v>
      </c>
      <c r="D190" s="24">
        <f>Tabla13468152331414957657381899710511312112913714515313716116917718519316116917720120921722523324124925726527328128929730531332132933734335135936737538315[[#This Row],[STOCK]]</f>
        <v>0</v>
      </c>
      <c r="E190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0</v>
      </c>
      <c r="F190" s="23"/>
      <c r="G190" s="24"/>
      <c r="H190" s="39"/>
      <c r="I190" s="40"/>
      <c r="J190" s="41"/>
      <c r="K190" s="39"/>
      <c r="L190" s="40"/>
      <c r="M190" s="41"/>
      <c r="N190" s="39"/>
      <c r="O190" s="40"/>
      <c r="P190" s="41"/>
      <c r="Q190" s="39"/>
      <c r="R190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91" spans="2:18" x14ac:dyDescent="0.2">
      <c r="B191" s="29" t="s">
        <v>364</v>
      </c>
      <c r="C191" s="30" t="s">
        <v>365</v>
      </c>
      <c r="D191" s="31">
        <f>Tabla13468152331414957657381899710511312112913714515313716116917718519316116917720120921722523324124925726527328128929730531332132933734335135936737538315[[#This Row],[STOCK]]</f>
        <v>0</v>
      </c>
      <c r="E191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0</v>
      </c>
      <c r="F191" s="30"/>
      <c r="G191" s="31"/>
      <c r="H191" s="42"/>
      <c r="I191" s="43"/>
      <c r="J191" s="44"/>
      <c r="K191" s="42"/>
      <c r="L191" s="43"/>
      <c r="M191" s="44"/>
      <c r="N191" s="42"/>
      <c r="O191" s="43"/>
      <c r="P191" s="44"/>
      <c r="Q191" s="42"/>
      <c r="R191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92" spans="2:18" x14ac:dyDescent="0.2">
      <c r="B192" s="22" t="s">
        <v>366</v>
      </c>
      <c r="C192" s="23" t="s">
        <v>367</v>
      </c>
      <c r="D192" s="24">
        <f>Tabla13468152331414957657381899710511312112913714515313716116917718519316116917720120921722523324124925726527328128929730531332132933734335135936737538315[[#This Row],[STOCK]]</f>
        <v>0</v>
      </c>
      <c r="E192" s="25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0</v>
      </c>
      <c r="F192" s="23"/>
      <c r="G192" s="24"/>
      <c r="H192" s="39"/>
      <c r="I192" s="40"/>
      <c r="J192" s="41"/>
      <c r="K192" s="39"/>
      <c r="L192" s="40"/>
      <c r="M192" s="41"/>
      <c r="N192" s="39"/>
      <c r="O192" s="40"/>
      <c r="P192" s="41"/>
      <c r="Q192" s="39"/>
      <c r="R192" s="23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93" spans="2:18" x14ac:dyDescent="0.2">
      <c r="B193" s="29" t="s">
        <v>368</v>
      </c>
      <c r="C193" s="30" t="s">
        <v>369</v>
      </c>
      <c r="D193" s="31">
        <f>Tabla13468152331414957657381899710511312112913714515313716116917718519316116917720120921722523324124925726527328128929730531332132933734335135936737538315[[#This Row],[STOCK]]</f>
        <v>0</v>
      </c>
      <c r="E193" s="32">
        <f>Tabla1346815233141495765738189971051131211291371451531371611691771851931611691772012092172252332412492572652732812892973053133213293373433513593673753831523[[#This Row],[INVENTARIO INICIAL]]+Tabla1346815233141495765738189971051131211291371451531371611691771851931611691772012092172252332412492572652732812892973053133213293373433513593673753831523[[#This Row],[INGRESO LUNES]]-Tabla1346815233141495765738189971051131211291371451531371611691771851931611691772012092172252332412492572652732812892973053133213293373433513593673753831523[[#This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Row],[INGRESO MARTES]]-Tabla1346815233141495765738189971051131211291371451531371611691771851931611691772012092172252332412492572652732812892973053133213293373433513593673753831523[[#This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Row],[INGRESO MIERCOLES]]-Tabla1346815233141495765738189971051131211291371451531371611691771851931611691772012092172252332412492572652732812892973053133213293373433513593673753831523[[#This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Row],[INGRESO JUEVES]]-Tabla1346815233141495765738189971051131211291371451531371611691771851931611691772012092172252332412492572652732812892973053133213293373433513593673753831523[[#This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Row],[INGRESO VIERNES]]-Tabla1346815233141495765738189971051131211291371451531371611691771851931611691772012092172252332412492572652732812892973053133213293373433513593673753831523[[#This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 INGRESO SABADO]]-Tabla1346815233141495765738189971051131211291371451531371611691771851931611691772012092172252332412492572652732812892973053133213293373433513593673753831523[[#This Row],[VENTA SABADO]]</f>
        <v>0</v>
      </c>
      <c r="F193" s="30"/>
      <c r="G193" s="31"/>
      <c r="H193" s="42"/>
      <c r="I193" s="43"/>
      <c r="J193" s="44"/>
      <c r="K193" s="42"/>
      <c r="L193" s="43"/>
      <c r="M193" s="44"/>
      <c r="N193" s="42"/>
      <c r="O193" s="43"/>
      <c r="P193" s="44"/>
      <c r="Q193" s="42"/>
      <c r="R193" s="30">
        <f>Tabla1346815233141495765738189971051131211291371451531371611691771851931611691772012092172252332412492572652732812892973053133213293373433513593673753831523[[#This Row],[VENTA LUNES]]+Tabla1346815233141495765738189971051131211291371451531371611691771851931611691772012092172252332412492572652732812892973053133213293373433513593673753831523[[#This Row],[VENTA MARTES]]+Tabla1346815233141495765738189971051131211291371451531371611691771851931611691772012092172252332412492572652732812892973053133213293373433513593673753831523[[#This Row],[VENTA MIERCOLES]]+Tabla1346815233141495765738189971051131211291371451531371611691771851931611691772012092172252332412492572652732812892973053133213293373433513593673753831523[[#This Row],[VENTA JUEVES]]+Tabla1346815233141495765738189971051131211291371451531371611691771851931611691772012092172252332412492572652732812892973053133213293373433513593673753831523[[#This Row],[VENTA VIERNES]]+Tabla1346815233141495765738189971051131211291371451531371611691771851931611691772012092172252332412492572652732812892973053133213293373433513593673753831523[[#This Row],[VENTA SABADO]]</f>
        <v>0</v>
      </c>
    </row>
    <row r="195" spans="2:18" s="54" customFormat="1" ht="38.25" x14ac:dyDescent="0.2">
      <c r="B195" s="17" t="s">
        <v>370</v>
      </c>
      <c r="C195" s="17" t="s">
        <v>5</v>
      </c>
      <c r="D195" s="17" t="s">
        <v>6</v>
      </c>
      <c r="E195" s="17" t="s">
        <v>7</v>
      </c>
      <c r="F195" s="17" t="s">
        <v>8</v>
      </c>
      <c r="G195" s="17" t="s">
        <v>51</v>
      </c>
      <c r="H195" s="17" t="s">
        <v>10</v>
      </c>
      <c r="I195" s="17" t="s">
        <v>11</v>
      </c>
      <c r="J195" s="17" t="s">
        <v>12</v>
      </c>
      <c r="K195" s="17" t="s">
        <v>13</v>
      </c>
      <c r="L195" s="17" t="s">
        <v>14</v>
      </c>
      <c r="M195" s="17" t="s">
        <v>15</v>
      </c>
      <c r="N195" s="17" t="s">
        <v>16</v>
      </c>
      <c r="O195" s="17" t="s">
        <v>371</v>
      </c>
      <c r="P195" s="17" t="s">
        <v>372</v>
      </c>
      <c r="Q195" s="17" t="s">
        <v>373</v>
      </c>
      <c r="R195" s="17" t="s">
        <v>20</v>
      </c>
    </row>
    <row r="196" spans="2:18" x14ac:dyDescent="0.2">
      <c r="B196" s="22" t="s">
        <v>374</v>
      </c>
      <c r="C196" s="23" t="s">
        <v>375</v>
      </c>
      <c r="D196" s="24">
        <f>Tabla134689162432425058667482909810611412213013814615413816217017818619416217017820221021822623424225025826627428229029830631432233033834435236036837638416[[#This Row],[STOCK]]</f>
        <v>0</v>
      </c>
      <c r="E196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196" s="23"/>
      <c r="G196" s="24"/>
      <c r="H196" s="39"/>
      <c r="I196" s="40"/>
      <c r="J196" s="41"/>
      <c r="K196" s="39"/>
      <c r="L196" s="40"/>
      <c r="M196" s="41"/>
      <c r="N196" s="39"/>
      <c r="O196" s="40"/>
      <c r="P196" s="41"/>
      <c r="Q196" s="39"/>
      <c r="R196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197" spans="2:18" x14ac:dyDescent="0.2">
      <c r="B197" s="29" t="s">
        <v>376</v>
      </c>
      <c r="C197" s="30" t="s">
        <v>377</v>
      </c>
      <c r="D197" s="31">
        <f>Tabla134689162432425058667482909810611412213013814615413816217017818619416217017820221021822623424225025826627428229029830631432233033834435236036837638416[[#This Row],[STOCK]]</f>
        <v>59</v>
      </c>
      <c r="E197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58</v>
      </c>
      <c r="F197" s="30"/>
      <c r="G197" s="31"/>
      <c r="H197" s="42"/>
      <c r="I197" s="43">
        <v>1</v>
      </c>
      <c r="J197" s="44"/>
      <c r="K197" s="42"/>
      <c r="L197" s="43"/>
      <c r="M197" s="44"/>
      <c r="N197" s="42"/>
      <c r="O197" s="43"/>
      <c r="P197" s="44"/>
      <c r="Q197" s="42"/>
      <c r="R197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1</v>
      </c>
    </row>
    <row r="198" spans="2:18" x14ac:dyDescent="0.2">
      <c r="B198" s="22" t="s">
        <v>378</v>
      </c>
      <c r="C198" s="23" t="s">
        <v>379</v>
      </c>
      <c r="D198" s="24">
        <f>Tabla134689162432425058667482909810611412213013814615413816217017818619416217017820221021822623424225025826627428229029830631432233033834435236036837638416[[#This Row],[STOCK]]</f>
        <v>1</v>
      </c>
      <c r="E198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19</v>
      </c>
      <c r="F198" s="23"/>
      <c r="G198" s="24"/>
      <c r="H198" s="39"/>
      <c r="I198" s="40"/>
      <c r="J198" s="41"/>
      <c r="K198" s="39"/>
      <c r="L198" s="40">
        <v>66</v>
      </c>
      <c r="M198" s="41">
        <v>1</v>
      </c>
      <c r="N198" s="39"/>
      <c r="O198" s="40">
        <v>47</v>
      </c>
      <c r="P198" s="41"/>
      <c r="Q198" s="39"/>
      <c r="R198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48</v>
      </c>
    </row>
    <row r="199" spans="2:18" x14ac:dyDescent="0.2">
      <c r="B199" s="29" t="s">
        <v>380</v>
      </c>
      <c r="C199" s="30" t="s">
        <v>381</v>
      </c>
      <c r="D199" s="31">
        <f>Tabla134689162432425058667482909810611412213013814615413816217017818619416217017820221021822623424225025826627428229029830631432233033834435236036837638416[[#This Row],[STOCK]]</f>
        <v>128</v>
      </c>
      <c r="E199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75</v>
      </c>
      <c r="F199" s="30"/>
      <c r="G199" s="31">
        <v>8</v>
      </c>
      <c r="H199" s="42"/>
      <c r="I199" s="43">
        <v>35</v>
      </c>
      <c r="J199" s="44"/>
      <c r="K199" s="42"/>
      <c r="L199" s="43"/>
      <c r="M199" s="44">
        <v>3</v>
      </c>
      <c r="N199" s="42"/>
      <c r="O199" s="43">
        <v>7</v>
      </c>
      <c r="P199" s="44"/>
      <c r="Q199" s="42"/>
      <c r="R199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53</v>
      </c>
    </row>
    <row r="200" spans="2:18" x14ac:dyDescent="0.2">
      <c r="B200" s="22" t="s">
        <v>382</v>
      </c>
      <c r="C200" s="23" t="s">
        <v>383</v>
      </c>
      <c r="D200" s="24">
        <f>Tabla134689162432425058667482909810611412213013814615413816217017818619416217017820221021822623424225025826627428229029830631432233033834435236036837638416[[#This Row],[STOCK]]</f>
        <v>49</v>
      </c>
      <c r="E200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4</v>
      </c>
      <c r="F200" s="23"/>
      <c r="G200" s="24">
        <v>4</v>
      </c>
      <c r="H200" s="39"/>
      <c r="I200" s="40">
        <v>40</v>
      </c>
      <c r="J200" s="41"/>
      <c r="K200" s="39"/>
      <c r="L200" s="40"/>
      <c r="M200" s="41">
        <v>1</v>
      </c>
      <c r="N200" s="39"/>
      <c r="O200" s="40"/>
      <c r="P200" s="41"/>
      <c r="Q200" s="39"/>
      <c r="R200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45</v>
      </c>
    </row>
    <row r="201" spans="2:18" x14ac:dyDescent="0.2">
      <c r="B201" s="29" t="s">
        <v>384</v>
      </c>
      <c r="C201" s="30" t="s">
        <v>385</v>
      </c>
      <c r="D201" s="31">
        <f>Tabla134689162432425058667482909810611412213013814615413816217017818619416217017820221021822623424225025826627428229029830631432233033834435236036837638416[[#This Row],[STOCK]]</f>
        <v>65</v>
      </c>
      <c r="E201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15</v>
      </c>
      <c r="F201" s="30"/>
      <c r="G201" s="31">
        <v>10</v>
      </c>
      <c r="H201" s="42"/>
      <c r="I201" s="43">
        <v>25</v>
      </c>
      <c r="J201" s="44"/>
      <c r="K201" s="42"/>
      <c r="L201" s="43"/>
      <c r="M201" s="44"/>
      <c r="N201" s="42"/>
      <c r="O201" s="43">
        <v>15</v>
      </c>
      <c r="P201" s="44"/>
      <c r="Q201" s="42"/>
      <c r="R201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50</v>
      </c>
    </row>
    <row r="202" spans="2:18" x14ac:dyDescent="0.2">
      <c r="B202" s="22" t="s">
        <v>386</v>
      </c>
      <c r="C202" s="23" t="s">
        <v>387</v>
      </c>
      <c r="D202" s="24">
        <f>Tabla134689162432425058667482909810611412213013814615413816217017818619416217017820221021822623424225025826627428229029830631432233033834435236036837638416[[#This Row],[STOCK]]</f>
        <v>242</v>
      </c>
      <c r="E202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242</v>
      </c>
      <c r="F202" s="23"/>
      <c r="G202" s="24"/>
      <c r="H202" s="39"/>
      <c r="I202" s="40"/>
      <c r="J202" s="41"/>
      <c r="K202" s="39"/>
      <c r="L202" s="40"/>
      <c r="M202" s="41"/>
      <c r="N202" s="39"/>
      <c r="O202" s="40"/>
      <c r="P202" s="41"/>
      <c r="Q202" s="39"/>
      <c r="R202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03" spans="2:18" x14ac:dyDescent="0.2">
      <c r="B203" s="29" t="s">
        <v>388</v>
      </c>
      <c r="C203" s="30" t="s">
        <v>389</v>
      </c>
      <c r="D203" s="31">
        <f>Tabla134689162432425058667482909810611412213013814615413816217017818619416217017820221021822623424225025826627428229029830631432233033834435236036837638416[[#This Row],[STOCK]]</f>
        <v>28</v>
      </c>
      <c r="E203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26</v>
      </c>
      <c r="F203" s="30"/>
      <c r="G203" s="31">
        <v>2</v>
      </c>
      <c r="H203" s="42"/>
      <c r="I203" s="43"/>
      <c r="J203" s="44"/>
      <c r="K203" s="42"/>
      <c r="L203" s="43"/>
      <c r="M203" s="44"/>
      <c r="N203" s="42"/>
      <c r="O203" s="43"/>
      <c r="P203" s="44"/>
      <c r="Q203" s="42"/>
      <c r="R203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2</v>
      </c>
    </row>
    <row r="204" spans="2:18" x14ac:dyDescent="0.2">
      <c r="B204" s="22" t="s">
        <v>390</v>
      </c>
      <c r="C204" s="23" t="s">
        <v>391</v>
      </c>
      <c r="D204" s="24">
        <f>Tabla134689162432425058667482909810611412213013814615413816217017818619416217017820221021822623424225025826627428229029830631432233033834435236036837638416[[#This Row],[STOCK]]</f>
        <v>0</v>
      </c>
      <c r="E204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04" s="23"/>
      <c r="G204" s="24"/>
      <c r="H204" s="39"/>
      <c r="I204" s="40"/>
      <c r="J204" s="41"/>
      <c r="K204" s="39"/>
      <c r="L204" s="40"/>
      <c r="M204" s="41"/>
      <c r="N204" s="39"/>
      <c r="O204" s="40"/>
      <c r="P204" s="41"/>
      <c r="Q204" s="39"/>
      <c r="R204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05" spans="2:18" x14ac:dyDescent="0.2">
      <c r="B205" s="29" t="s">
        <v>392</v>
      </c>
      <c r="C205" s="30" t="s">
        <v>393</v>
      </c>
      <c r="D205" s="31">
        <f>Tabla134689162432425058667482909810611412213013814615413816217017818619416217017820221021822623424225025826627428229029830631432233033834435236036837638416[[#This Row],[STOCK]]</f>
        <v>111</v>
      </c>
      <c r="E205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101</v>
      </c>
      <c r="F205" s="30"/>
      <c r="G205" s="31">
        <v>2</v>
      </c>
      <c r="H205" s="42"/>
      <c r="I205" s="43">
        <v>5</v>
      </c>
      <c r="J205" s="44"/>
      <c r="K205" s="42"/>
      <c r="L205" s="43"/>
      <c r="M205" s="44"/>
      <c r="N205" s="42"/>
      <c r="O205" s="43">
        <v>3</v>
      </c>
      <c r="P205" s="44"/>
      <c r="Q205" s="42"/>
      <c r="R205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10</v>
      </c>
    </row>
    <row r="206" spans="2:18" x14ac:dyDescent="0.2">
      <c r="B206" s="22" t="s">
        <v>394</v>
      </c>
      <c r="C206" s="23" t="s">
        <v>395</v>
      </c>
      <c r="D206" s="24">
        <f>Tabla134689162432425058667482909810611412213013814615413816217017818619416217017820221021822623424225025826627428229029830631432233033834435236036837638416[[#This Row],[STOCK]]</f>
        <v>0</v>
      </c>
      <c r="E206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13</v>
      </c>
      <c r="F206" s="23"/>
      <c r="G206" s="24"/>
      <c r="H206" s="39"/>
      <c r="I206" s="40"/>
      <c r="J206" s="41"/>
      <c r="K206" s="39"/>
      <c r="L206" s="40"/>
      <c r="M206" s="41"/>
      <c r="N206" s="39"/>
      <c r="O206" s="40"/>
      <c r="P206" s="41">
        <v>13</v>
      </c>
      <c r="Q206" s="39"/>
      <c r="R206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07" spans="2:18" x14ac:dyDescent="0.2">
      <c r="B207" s="29" t="s">
        <v>396</v>
      </c>
      <c r="C207" s="30" t="s">
        <v>397</v>
      </c>
      <c r="D207" s="31">
        <f>Tabla134689162432425058667482909810611412213013814615413816217017818619416217017820221021822623424225025826627428229029830631432233033834435236036837638416[[#This Row],[STOCK]]</f>
        <v>65</v>
      </c>
      <c r="E207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12</v>
      </c>
      <c r="F207" s="30"/>
      <c r="G207" s="31">
        <v>17</v>
      </c>
      <c r="H207" s="42"/>
      <c r="I207" s="43">
        <v>20</v>
      </c>
      <c r="J207" s="44"/>
      <c r="K207" s="42"/>
      <c r="L207" s="43"/>
      <c r="M207" s="44">
        <v>1</v>
      </c>
      <c r="N207" s="42"/>
      <c r="O207" s="43">
        <v>15</v>
      </c>
      <c r="P207" s="44"/>
      <c r="Q207" s="42"/>
      <c r="R207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53</v>
      </c>
    </row>
    <row r="208" spans="2:18" x14ac:dyDescent="0.2">
      <c r="B208" s="22" t="s">
        <v>398</v>
      </c>
      <c r="C208" s="23" t="s">
        <v>399</v>
      </c>
      <c r="D208" s="24">
        <f>Tabla134689162432425058667482909810611412213013814615413816217017818619416217017820221021822623424225025826627428229029830631432233033834435236036837638416[[#This Row],[STOCK]]</f>
        <v>0</v>
      </c>
      <c r="E208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08" s="23"/>
      <c r="G208" s="24"/>
      <c r="H208" s="39"/>
      <c r="I208" s="40"/>
      <c r="J208" s="41"/>
      <c r="K208" s="39"/>
      <c r="L208" s="40"/>
      <c r="M208" s="41"/>
      <c r="N208" s="39"/>
      <c r="O208" s="40"/>
      <c r="P208" s="41"/>
      <c r="Q208" s="39"/>
      <c r="R208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09" spans="2:18" x14ac:dyDescent="0.2">
      <c r="B209" s="29" t="s">
        <v>400</v>
      </c>
      <c r="C209" s="30" t="s">
        <v>401</v>
      </c>
      <c r="D209" s="31">
        <f>Tabla134689162432425058667482909810611412213013814615413816217017818619416217017820221021822623424225025826627428229029830631432233033834435236036837638416[[#This Row],[STOCK]]</f>
        <v>74</v>
      </c>
      <c r="E209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62</v>
      </c>
      <c r="F209" s="30"/>
      <c r="G209" s="31">
        <v>8</v>
      </c>
      <c r="H209" s="42"/>
      <c r="I209" s="43"/>
      <c r="J209" s="44"/>
      <c r="K209" s="42"/>
      <c r="L209" s="43"/>
      <c r="M209" s="44">
        <v>2</v>
      </c>
      <c r="N209" s="42"/>
      <c r="O209" s="43">
        <v>2</v>
      </c>
      <c r="P209" s="44"/>
      <c r="Q209" s="42"/>
      <c r="R209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12</v>
      </c>
    </row>
    <row r="210" spans="2:18" x14ac:dyDescent="0.2">
      <c r="B210" s="22" t="s">
        <v>402</v>
      </c>
      <c r="C210" s="23" t="s">
        <v>403</v>
      </c>
      <c r="D210" s="24">
        <f>Tabla134689162432425058667482909810611412213013814615413816217017818619416217017820221021822623424225025826627428229029830631432233033834435236036837638416[[#This Row],[STOCK]]</f>
        <v>0</v>
      </c>
      <c r="E210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10" s="23"/>
      <c r="G210" s="24"/>
      <c r="H210" s="39"/>
      <c r="I210" s="40"/>
      <c r="J210" s="41"/>
      <c r="K210" s="39"/>
      <c r="L210" s="40"/>
      <c r="M210" s="41"/>
      <c r="N210" s="39"/>
      <c r="O210" s="40"/>
      <c r="P210" s="41"/>
      <c r="Q210" s="39"/>
      <c r="R210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11" spans="2:18" x14ac:dyDescent="0.2">
      <c r="B211" s="29" t="s">
        <v>404</v>
      </c>
      <c r="C211" s="30" t="s">
        <v>405</v>
      </c>
      <c r="D211" s="31">
        <f>Tabla134689162432425058667482909810611412213013814615413816217017818619416217017820221021822623424225025826627428229029830631432233033834435236036837638416[[#This Row],[STOCK]]</f>
        <v>9</v>
      </c>
      <c r="E211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1</v>
      </c>
      <c r="F211" s="30"/>
      <c r="G211" s="31">
        <v>2</v>
      </c>
      <c r="H211" s="42"/>
      <c r="I211" s="43">
        <v>6</v>
      </c>
      <c r="J211" s="44"/>
      <c r="K211" s="42"/>
      <c r="L211" s="43"/>
      <c r="M211" s="44"/>
      <c r="N211" s="42"/>
      <c r="O211" s="43"/>
      <c r="P211" s="44"/>
      <c r="Q211" s="42"/>
      <c r="R211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8</v>
      </c>
    </row>
    <row r="212" spans="2:18" x14ac:dyDescent="0.2">
      <c r="B212" s="22" t="s">
        <v>406</v>
      </c>
      <c r="C212" s="23" t="s">
        <v>407</v>
      </c>
      <c r="D212" s="24">
        <f>Tabla134689162432425058667482909810611412213013814615413816217017818619416217017820221021822623424225025826627428229029830631432233033834435236036837638416[[#This Row],[STOCK]]</f>
        <v>257</v>
      </c>
      <c r="E212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243</v>
      </c>
      <c r="F212" s="23"/>
      <c r="G212" s="24"/>
      <c r="H212" s="39"/>
      <c r="I212" s="40">
        <v>10</v>
      </c>
      <c r="J212" s="41"/>
      <c r="K212" s="39"/>
      <c r="L212" s="40"/>
      <c r="M212" s="41"/>
      <c r="N212" s="39"/>
      <c r="O212" s="40">
        <v>4</v>
      </c>
      <c r="P212" s="41"/>
      <c r="Q212" s="39"/>
      <c r="R212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14</v>
      </c>
    </row>
    <row r="213" spans="2:18" x14ac:dyDescent="0.2">
      <c r="B213" s="29" t="s">
        <v>408</v>
      </c>
      <c r="C213" s="30" t="s">
        <v>409</v>
      </c>
      <c r="D213" s="31">
        <f>Tabla134689162432425058667482909810611412213013814615413816217017818619416217017820221021822623424225025826627428229029830631432233033834435236036837638416[[#This Row],[STOCK]]</f>
        <v>66</v>
      </c>
      <c r="E213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23</v>
      </c>
      <c r="F213" s="30"/>
      <c r="G213" s="31">
        <v>8</v>
      </c>
      <c r="H213" s="42"/>
      <c r="I213" s="43">
        <v>30</v>
      </c>
      <c r="J213" s="44"/>
      <c r="K213" s="42"/>
      <c r="L213" s="43"/>
      <c r="M213" s="44"/>
      <c r="N213" s="42"/>
      <c r="O213" s="43">
        <v>5</v>
      </c>
      <c r="P213" s="44"/>
      <c r="Q213" s="42"/>
      <c r="R213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43</v>
      </c>
    </row>
    <row r="214" spans="2:18" s="65" customFormat="1" x14ac:dyDescent="0.2">
      <c r="B214" s="58" t="s">
        <v>410</v>
      </c>
      <c r="C214" s="59" t="s">
        <v>411</v>
      </c>
      <c r="D214" s="60">
        <f>Tabla134689162432425058667482909810611412213013814615413816217017818619416217017820221021822623424225025826627428229029830631432233033834435236036837638416[[#This Row],[STOCK]]</f>
        <v>11</v>
      </c>
      <c r="E214" s="61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25</v>
      </c>
      <c r="F214" s="59"/>
      <c r="G214" s="60">
        <v>11</v>
      </c>
      <c r="H214" s="62"/>
      <c r="I214" s="63"/>
      <c r="J214" s="64"/>
      <c r="K214" s="62"/>
      <c r="L214" s="63"/>
      <c r="M214" s="64"/>
      <c r="N214" s="62">
        <v>12</v>
      </c>
      <c r="O214" s="63">
        <v>12</v>
      </c>
      <c r="P214" s="64">
        <v>25</v>
      </c>
      <c r="Q214" s="62"/>
      <c r="R214" s="59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23</v>
      </c>
    </row>
    <row r="215" spans="2:18" ht="13.5" customHeight="1" x14ac:dyDescent="0.2">
      <c r="B215" s="29" t="s">
        <v>412</v>
      </c>
      <c r="C215" s="30" t="s">
        <v>413</v>
      </c>
      <c r="D215" s="31">
        <f>Tabla134689162432425058667482909810611412213013814615413816217017818619416217017820221021822623424225025826627428229029830631432233033834435236036837638416[[#This Row],[STOCK]]</f>
        <v>28</v>
      </c>
      <c r="E215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8</v>
      </c>
      <c r="F215" s="30"/>
      <c r="G215" s="31">
        <v>20</v>
      </c>
      <c r="H215" s="42"/>
      <c r="I215" s="43"/>
      <c r="J215" s="44"/>
      <c r="K215" s="42"/>
      <c r="L215" s="43"/>
      <c r="M215" s="44"/>
      <c r="N215" s="42"/>
      <c r="O215" s="43"/>
      <c r="P215" s="44"/>
      <c r="Q215" s="42"/>
      <c r="R215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20</v>
      </c>
    </row>
    <row r="216" spans="2:18" x14ac:dyDescent="0.2">
      <c r="B216" s="22" t="s">
        <v>414</v>
      </c>
      <c r="C216" s="23" t="s">
        <v>415</v>
      </c>
      <c r="D216" s="24">
        <f>Tabla134689162432425058667482909810611412213013814615413816217017818619416217017820221021822623424225025826627428229029830631432233033834435236036837638416[[#This Row],[STOCK]]</f>
        <v>110</v>
      </c>
      <c r="E216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50</v>
      </c>
      <c r="F216" s="23"/>
      <c r="G216" s="24">
        <v>9</v>
      </c>
      <c r="H216" s="39"/>
      <c r="I216" s="40">
        <v>40</v>
      </c>
      <c r="J216" s="41"/>
      <c r="K216" s="39"/>
      <c r="L216" s="40"/>
      <c r="M216" s="41">
        <v>4</v>
      </c>
      <c r="N216" s="39"/>
      <c r="O216" s="40">
        <v>7</v>
      </c>
      <c r="P216" s="41"/>
      <c r="Q216" s="39"/>
      <c r="R216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60</v>
      </c>
    </row>
    <row r="217" spans="2:18" x14ac:dyDescent="0.2">
      <c r="B217" s="29" t="s">
        <v>416</v>
      </c>
      <c r="C217" s="30" t="s">
        <v>417</v>
      </c>
      <c r="D217" s="31">
        <f>Tabla134689162432425058667482909810611412213013814615413816217017818619416217017820221021822623424225025826627428229029830631432233033834435236036837638416[[#This Row],[STOCK]]</f>
        <v>0</v>
      </c>
      <c r="E217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17" s="30"/>
      <c r="G217" s="31"/>
      <c r="H217" s="42"/>
      <c r="I217" s="43"/>
      <c r="J217" s="44"/>
      <c r="K217" s="42"/>
      <c r="L217" s="43"/>
      <c r="M217" s="44"/>
      <c r="N217" s="42">
        <v>5</v>
      </c>
      <c r="O217" s="43">
        <v>5</v>
      </c>
      <c r="P217" s="44"/>
      <c r="Q217" s="42"/>
      <c r="R217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5</v>
      </c>
    </row>
    <row r="218" spans="2:18" ht="13.5" customHeight="1" x14ac:dyDescent="0.2">
      <c r="B218" s="22" t="s">
        <v>418</v>
      </c>
      <c r="C218" s="23" t="s">
        <v>419</v>
      </c>
      <c r="D218" s="24">
        <f>Tabla134689162432425058667482909810611412213013814615413816217017818619416217017820221021822623424225025826627428229029830631432233033834435236036837638416[[#This Row],[STOCK]]</f>
        <v>0</v>
      </c>
      <c r="E218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11</v>
      </c>
      <c r="F218" s="23"/>
      <c r="G218" s="24"/>
      <c r="H218" s="39"/>
      <c r="I218" s="40"/>
      <c r="J218" s="41"/>
      <c r="K218" s="39"/>
      <c r="L218" s="40">
        <v>16</v>
      </c>
      <c r="M218" s="41"/>
      <c r="N218" s="39"/>
      <c r="O218" s="40">
        <v>5</v>
      </c>
      <c r="P218" s="41"/>
      <c r="Q218" s="39"/>
      <c r="R218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5</v>
      </c>
    </row>
    <row r="219" spans="2:18" ht="12" customHeight="1" x14ac:dyDescent="0.2">
      <c r="B219" s="29" t="s">
        <v>420</v>
      </c>
      <c r="C219" s="30" t="s">
        <v>421</v>
      </c>
      <c r="D219" s="31">
        <f>Tabla134689162432425058667482909810611412213013814615413816217017818619416217017820221021822623424225025826627428229029830631432233033834435236036837638416[[#This Row],[STOCK]]</f>
        <v>0</v>
      </c>
      <c r="E219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19" s="30"/>
      <c r="G219" s="31"/>
      <c r="H219" s="42"/>
      <c r="I219" s="43"/>
      <c r="J219" s="44"/>
      <c r="K219" s="42"/>
      <c r="L219" s="43"/>
      <c r="M219" s="44"/>
      <c r="N219" s="42"/>
      <c r="O219" s="43"/>
      <c r="P219" s="44"/>
      <c r="Q219" s="42"/>
      <c r="R219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20" spans="2:18" ht="13.5" customHeight="1" x14ac:dyDescent="0.2">
      <c r="B220" s="22" t="s">
        <v>422</v>
      </c>
      <c r="C220" s="23" t="s">
        <v>423</v>
      </c>
      <c r="D220" s="24">
        <f>Tabla134689162432425058667482909810611412213013814615413816217017818619416217017820221021822623424225025826627428229029830631432233033834435236036837638416[[#This Row],[STOCK]]</f>
        <v>42</v>
      </c>
      <c r="E220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28</v>
      </c>
      <c r="F220" s="23"/>
      <c r="G220" s="24">
        <v>31</v>
      </c>
      <c r="H220" s="39"/>
      <c r="I220" s="40">
        <v>11</v>
      </c>
      <c r="J220" s="41"/>
      <c r="K220" s="39"/>
      <c r="L220" s="40"/>
      <c r="M220" s="41"/>
      <c r="N220" s="39"/>
      <c r="O220" s="40"/>
      <c r="P220" s="41">
        <v>28</v>
      </c>
      <c r="Q220" s="39"/>
      <c r="R220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42</v>
      </c>
    </row>
    <row r="221" spans="2:18" x14ac:dyDescent="0.2">
      <c r="B221" s="29" t="s">
        <v>424</v>
      </c>
      <c r="C221" s="30" t="s">
        <v>425</v>
      </c>
      <c r="D221" s="31">
        <f>Tabla134689162432425058667482909810611412213013814615413816217017818619416217017820221021822623424225025826627428229029830631432233033834435236036837638416[[#This Row],[STOCK]]</f>
        <v>0</v>
      </c>
      <c r="E221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21" s="30"/>
      <c r="G221" s="31"/>
      <c r="H221" s="42"/>
      <c r="I221" s="43"/>
      <c r="J221" s="44"/>
      <c r="K221" s="42"/>
      <c r="L221" s="43"/>
      <c r="M221" s="44"/>
      <c r="N221" s="42"/>
      <c r="O221" s="43"/>
      <c r="P221" s="44"/>
      <c r="Q221" s="42"/>
      <c r="R221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22" spans="2:18" x14ac:dyDescent="0.2">
      <c r="B222" s="22" t="s">
        <v>426</v>
      </c>
      <c r="C222" s="23" t="s">
        <v>427</v>
      </c>
      <c r="D222" s="24">
        <f>Tabla134689162432425058667482909810611412213013814615413816217017818619416217017820221021822623424225025826627428229029830631432233033834435236036837638416[[#This Row],[STOCK]]</f>
        <v>15</v>
      </c>
      <c r="E222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28</v>
      </c>
      <c r="F222" s="23"/>
      <c r="G222" s="24"/>
      <c r="H222" s="39"/>
      <c r="I222" s="40">
        <v>15</v>
      </c>
      <c r="J222" s="41"/>
      <c r="K222" s="39"/>
      <c r="L222" s="40">
        <v>28</v>
      </c>
      <c r="M222" s="41"/>
      <c r="N222" s="39"/>
      <c r="O222" s="40"/>
      <c r="P222" s="41"/>
      <c r="Q222" s="39"/>
      <c r="R222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15</v>
      </c>
    </row>
    <row r="223" spans="2:18" x14ac:dyDescent="0.2">
      <c r="B223" s="29" t="s">
        <v>428</v>
      </c>
      <c r="C223" s="30" t="s">
        <v>429</v>
      </c>
      <c r="D223" s="31">
        <f>Tabla134689162432425058667482909810611412213013814615413816217017818619416217017820221021822623424225025826627428229029830631432233033834435236036837638416[[#This Row],[STOCK]]</f>
        <v>0</v>
      </c>
      <c r="E223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23" s="30"/>
      <c r="G223" s="31"/>
      <c r="H223" s="42"/>
      <c r="I223" s="43"/>
      <c r="J223" s="44"/>
      <c r="K223" s="42"/>
      <c r="L223" s="43"/>
      <c r="M223" s="44"/>
      <c r="N223" s="42"/>
      <c r="O223" s="43"/>
      <c r="P223" s="44"/>
      <c r="Q223" s="42"/>
      <c r="R223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24" spans="2:18" x14ac:dyDescent="0.2">
      <c r="B224" s="22" t="s">
        <v>430</v>
      </c>
      <c r="C224" s="23" t="s">
        <v>431</v>
      </c>
      <c r="D224" s="24">
        <f>Tabla134689162432425058667482909810611412213013814615413816217017818619416217017820221021822623424225025826627428229029830631432233033834435236036837638416[[#This Row],[STOCK]]</f>
        <v>42</v>
      </c>
      <c r="E224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32</v>
      </c>
      <c r="F224" s="23"/>
      <c r="G224" s="24"/>
      <c r="H224" s="39"/>
      <c r="I224" s="40">
        <v>10</v>
      </c>
      <c r="J224" s="41"/>
      <c r="K224" s="39"/>
      <c r="L224" s="40"/>
      <c r="M224" s="41"/>
      <c r="N224" s="39"/>
      <c r="O224" s="40"/>
      <c r="P224" s="41"/>
      <c r="Q224" s="39"/>
      <c r="R224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10</v>
      </c>
    </row>
    <row r="225" spans="2:18" x14ac:dyDescent="0.2">
      <c r="B225" s="29" t="s">
        <v>432</v>
      </c>
      <c r="C225" s="30" t="s">
        <v>433</v>
      </c>
      <c r="D225" s="31">
        <f>Tabla134689162432425058667482909810611412213013814615413816217017818619416217017820221021822623424225025826627428229029830631432233033834435236036837638416[[#This Row],[STOCK]]</f>
        <v>65</v>
      </c>
      <c r="E225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114</v>
      </c>
      <c r="F225" s="30"/>
      <c r="G225" s="31">
        <v>4</v>
      </c>
      <c r="H225" s="42">
        <v>69</v>
      </c>
      <c r="I225" s="43">
        <v>15</v>
      </c>
      <c r="J225" s="44"/>
      <c r="K225" s="42"/>
      <c r="L225" s="43"/>
      <c r="M225" s="44">
        <v>1</v>
      </c>
      <c r="N225" s="42"/>
      <c r="O225" s="43"/>
      <c r="P225" s="44"/>
      <c r="Q225" s="42"/>
      <c r="R225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20</v>
      </c>
    </row>
    <row r="226" spans="2:18" x14ac:dyDescent="0.2">
      <c r="B226" s="22" t="s">
        <v>434</v>
      </c>
      <c r="C226" s="23" t="s">
        <v>435</v>
      </c>
      <c r="D226" s="24">
        <f>Tabla134689162432425058667482909810611412213013814615413816217017818619416217017820221021822623424225025826627428229029830631432233033834435236036837638416[[#This Row],[STOCK]]</f>
        <v>145</v>
      </c>
      <c r="E226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129</v>
      </c>
      <c r="F226" s="23"/>
      <c r="G226" s="24"/>
      <c r="H226" s="39"/>
      <c r="I226" s="40">
        <v>10</v>
      </c>
      <c r="J226" s="41"/>
      <c r="K226" s="39"/>
      <c r="L226" s="40"/>
      <c r="M226" s="41"/>
      <c r="N226" s="39"/>
      <c r="O226" s="40">
        <v>6</v>
      </c>
      <c r="P226" s="41"/>
      <c r="Q226" s="39"/>
      <c r="R226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16</v>
      </c>
    </row>
    <row r="227" spans="2:18" x14ac:dyDescent="0.2">
      <c r="B227" s="29" t="s">
        <v>436</v>
      </c>
      <c r="C227" s="30" t="s">
        <v>437</v>
      </c>
      <c r="D227" s="31">
        <f>Tabla134689162432425058667482909810611412213013814615413816217017818619416217017820221021822623424225025826627428229029830631432233033834435236036837638416[[#This Row],[STOCK]]</f>
        <v>34</v>
      </c>
      <c r="E227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23</v>
      </c>
      <c r="F227" s="30"/>
      <c r="G227" s="31">
        <v>4</v>
      </c>
      <c r="H227" s="42"/>
      <c r="I227" s="43">
        <v>5</v>
      </c>
      <c r="J227" s="44"/>
      <c r="K227" s="42"/>
      <c r="L227" s="43"/>
      <c r="M227" s="44"/>
      <c r="N227" s="42">
        <v>3</v>
      </c>
      <c r="O227" s="43">
        <v>5</v>
      </c>
      <c r="P227" s="44"/>
      <c r="Q227" s="42"/>
      <c r="R227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14</v>
      </c>
    </row>
    <row r="228" spans="2:18" x14ac:dyDescent="0.2">
      <c r="B228" s="22" t="s">
        <v>438</v>
      </c>
      <c r="C228" s="23" t="s">
        <v>439</v>
      </c>
      <c r="D228" s="24">
        <f>Tabla134689162432425058667482909810611412213013814615413816217017818619416217017820221021822623424225025826627428229029830631432233033834435236036837638416[[#This Row],[STOCK]]</f>
        <v>0</v>
      </c>
      <c r="E228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28" s="23"/>
      <c r="G228" s="24"/>
      <c r="H228" s="39"/>
      <c r="I228" s="40"/>
      <c r="J228" s="41"/>
      <c r="K228" s="39"/>
      <c r="L228" s="40"/>
      <c r="M228" s="41"/>
      <c r="N228" s="39"/>
      <c r="O228" s="40"/>
      <c r="P228" s="41"/>
      <c r="Q228" s="39"/>
      <c r="R228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29" spans="2:18" x14ac:dyDescent="0.2">
      <c r="B229" s="29" t="s">
        <v>440</v>
      </c>
      <c r="C229" s="30" t="s">
        <v>441</v>
      </c>
      <c r="D229" s="31">
        <f>Tabla134689162432425058667482909810611412213013814615413816217017818619416217017820221021822623424225025826627428229029830631432233033834435236036837638416[[#This Row],[STOCK]]</f>
        <v>0</v>
      </c>
      <c r="E229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29" s="30"/>
      <c r="G229" s="31"/>
      <c r="H229" s="42"/>
      <c r="I229" s="43"/>
      <c r="J229" s="44"/>
      <c r="K229" s="42"/>
      <c r="L229" s="43"/>
      <c r="M229" s="44"/>
      <c r="N229" s="42"/>
      <c r="O229" s="43"/>
      <c r="P229" s="44"/>
      <c r="Q229" s="42"/>
      <c r="R229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30" spans="2:18" x14ac:dyDescent="0.2">
      <c r="B230" s="22" t="s">
        <v>442</v>
      </c>
      <c r="C230" s="23" t="s">
        <v>443</v>
      </c>
      <c r="D230" s="24">
        <f>Tabla134689162432425058667482909810611412213013814615413816217017818619416217017820221021822623424225025826627428229029830631432233033834435236036837638416[[#This Row],[STOCK]]</f>
        <v>0</v>
      </c>
      <c r="E230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30" s="23"/>
      <c r="G230" s="24"/>
      <c r="H230" s="39"/>
      <c r="I230" s="40"/>
      <c r="J230" s="41"/>
      <c r="K230" s="39"/>
      <c r="L230" s="40"/>
      <c r="M230" s="41"/>
      <c r="N230" s="39"/>
      <c r="O230" s="40"/>
      <c r="P230" s="41"/>
      <c r="Q230" s="39"/>
      <c r="R230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31" spans="2:18" x14ac:dyDescent="0.2">
      <c r="B231" s="29" t="s">
        <v>444</v>
      </c>
      <c r="C231" s="30" t="s">
        <v>445</v>
      </c>
      <c r="D231" s="31">
        <f>Tabla134689162432425058667482909810611412213013814615413816217017818619416217017820221021822623424225025826627428229029830631432233033834435236036837638416[[#This Row],[STOCK]]</f>
        <v>0</v>
      </c>
      <c r="E231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31" s="30"/>
      <c r="G231" s="31"/>
      <c r="H231" s="42"/>
      <c r="I231" s="43"/>
      <c r="J231" s="44"/>
      <c r="K231" s="42"/>
      <c r="L231" s="43"/>
      <c r="M231" s="44"/>
      <c r="N231" s="42"/>
      <c r="O231" s="43"/>
      <c r="P231" s="44"/>
      <c r="Q231" s="42"/>
      <c r="R231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32" spans="2:18" x14ac:dyDescent="0.2">
      <c r="B232" s="22" t="s">
        <v>446</v>
      </c>
      <c r="C232" s="23" t="s">
        <v>447</v>
      </c>
      <c r="D232" s="24">
        <f>Tabla134689162432425058667482909810611412213013814615413816217017818619416217017820221021822623424225025826627428229029830631432233033834435236036837638416[[#This Row],[STOCK]]</f>
        <v>0</v>
      </c>
      <c r="E232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32" s="23"/>
      <c r="G232" s="24"/>
      <c r="H232" s="39"/>
      <c r="I232" s="40"/>
      <c r="J232" s="41"/>
      <c r="K232" s="39"/>
      <c r="L232" s="40"/>
      <c r="M232" s="41"/>
      <c r="N232" s="39"/>
      <c r="O232" s="40"/>
      <c r="P232" s="41"/>
      <c r="Q232" s="39"/>
      <c r="R232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33" spans="2:18" x14ac:dyDescent="0.2">
      <c r="B233" s="29" t="s">
        <v>448</v>
      </c>
      <c r="C233" s="30" t="s">
        <v>449</v>
      </c>
      <c r="D233" s="31">
        <f>Tabla134689162432425058667482909810611412213013814615413816217017818619416217017820221021822623424225025826627428229029830631432233033834435236036837638416[[#This Row],[STOCK]]</f>
        <v>0</v>
      </c>
      <c r="E233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33" s="30"/>
      <c r="G233" s="31"/>
      <c r="H233" s="42"/>
      <c r="I233" s="43"/>
      <c r="J233" s="44"/>
      <c r="K233" s="42"/>
      <c r="L233" s="43"/>
      <c r="M233" s="44"/>
      <c r="N233" s="42"/>
      <c r="O233" s="43"/>
      <c r="P233" s="44"/>
      <c r="Q233" s="42"/>
      <c r="R233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34" spans="2:18" x14ac:dyDescent="0.2">
      <c r="B234" s="22" t="s">
        <v>450</v>
      </c>
      <c r="C234" s="23" t="s">
        <v>451</v>
      </c>
      <c r="D234" s="24">
        <f>Tabla134689162432425058667482909810611412213013814615413816217017818619416217017820221021822623424225025826627428229029830631432233033834435236036837638416[[#This Row],[STOCK]]</f>
        <v>0</v>
      </c>
      <c r="E234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34" s="23"/>
      <c r="G234" s="24"/>
      <c r="H234" s="39"/>
      <c r="I234" s="40"/>
      <c r="J234" s="41"/>
      <c r="K234" s="39"/>
      <c r="L234" s="40"/>
      <c r="M234" s="41"/>
      <c r="N234" s="39"/>
      <c r="O234" s="40"/>
      <c r="P234" s="41"/>
      <c r="Q234" s="39"/>
      <c r="R234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35" spans="2:18" x14ac:dyDescent="0.2">
      <c r="B235" s="29" t="s">
        <v>452</v>
      </c>
      <c r="C235" s="30" t="s">
        <v>453</v>
      </c>
      <c r="D235" s="31">
        <f>Tabla134689162432425058667482909810611412213013814615413816217017818619416217017820221021822623424225025826627428229029830631432233033834435236036837638416[[#This Row],[STOCK]]</f>
        <v>0</v>
      </c>
      <c r="E235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35" s="30"/>
      <c r="G235" s="31"/>
      <c r="H235" s="42"/>
      <c r="I235" s="43"/>
      <c r="J235" s="44"/>
      <c r="K235" s="42"/>
      <c r="L235" s="43"/>
      <c r="M235" s="44"/>
      <c r="N235" s="42"/>
      <c r="O235" s="43"/>
      <c r="P235" s="44"/>
      <c r="Q235" s="42"/>
      <c r="R235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36" spans="2:18" x14ac:dyDescent="0.2">
      <c r="B236" s="22" t="s">
        <v>454</v>
      </c>
      <c r="C236" s="23" t="s">
        <v>455</v>
      </c>
      <c r="D236" s="24">
        <f>Tabla134689162432425058667482909810611412213013814615413816217017818619416217017820221021822623424225025826627428229029830631432233033834435236036837638416[[#This Row],[STOCK]]</f>
        <v>0</v>
      </c>
      <c r="E236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36" s="23"/>
      <c r="G236" s="24"/>
      <c r="H236" s="39"/>
      <c r="I236" s="40"/>
      <c r="J236" s="41"/>
      <c r="K236" s="39"/>
      <c r="L236" s="40"/>
      <c r="M236" s="41"/>
      <c r="N236" s="39"/>
      <c r="O236" s="40"/>
      <c r="P236" s="41"/>
      <c r="Q236" s="39"/>
      <c r="R236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37" spans="2:18" x14ac:dyDescent="0.2">
      <c r="B237" s="29" t="s">
        <v>456</v>
      </c>
      <c r="C237" s="30" t="s">
        <v>457</v>
      </c>
      <c r="D237" s="31">
        <f>Tabla134689162432425058667482909810611412213013814615413816217017818619416217017820221021822623424225025826627428229029830631432233033834435236036837638416[[#This Row],[STOCK]]</f>
        <v>0</v>
      </c>
      <c r="E237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37" s="30"/>
      <c r="G237" s="31"/>
      <c r="H237" s="42"/>
      <c r="I237" s="43"/>
      <c r="J237" s="44"/>
      <c r="K237" s="42"/>
      <c r="L237" s="43"/>
      <c r="M237" s="44"/>
      <c r="N237" s="42"/>
      <c r="O237" s="43"/>
      <c r="P237" s="44"/>
      <c r="Q237" s="42"/>
      <c r="R237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38" spans="2:18" x14ac:dyDescent="0.2">
      <c r="B238" s="22" t="s">
        <v>458</v>
      </c>
      <c r="C238" s="23" t="s">
        <v>459</v>
      </c>
      <c r="D238" s="24">
        <f>Tabla134689162432425058667482909810611412213013814615413816217017818619416217017820221021822623424225025826627428229029830631432233033834435236036837638416[[#This Row],[STOCK]]</f>
        <v>0</v>
      </c>
      <c r="E238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38" s="23"/>
      <c r="G238" s="24"/>
      <c r="H238" s="39"/>
      <c r="I238" s="40"/>
      <c r="J238" s="41"/>
      <c r="K238" s="39"/>
      <c r="L238" s="40"/>
      <c r="M238" s="41"/>
      <c r="N238" s="39"/>
      <c r="O238" s="40"/>
      <c r="P238" s="41"/>
      <c r="Q238" s="39"/>
      <c r="R238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39" spans="2:18" x14ac:dyDescent="0.2">
      <c r="B239" s="29" t="s">
        <v>460</v>
      </c>
      <c r="C239" s="30" t="s">
        <v>461</v>
      </c>
      <c r="D239" s="31">
        <f>Tabla134689162432425058667482909810611412213013814615413816217017818619416217017820221021822623424225025826627428229029830631432233033834435236036837638416[[#This Row],[STOCK]]</f>
        <v>0</v>
      </c>
      <c r="E239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39" s="30"/>
      <c r="G239" s="31"/>
      <c r="H239" s="42"/>
      <c r="I239" s="43"/>
      <c r="J239" s="44"/>
      <c r="K239" s="42"/>
      <c r="L239" s="43"/>
      <c r="M239" s="44"/>
      <c r="N239" s="42"/>
      <c r="O239" s="43"/>
      <c r="P239" s="44"/>
      <c r="Q239" s="42"/>
      <c r="R239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40" spans="2:18" x14ac:dyDescent="0.2">
      <c r="B240" s="22" t="s">
        <v>462</v>
      </c>
      <c r="C240" s="23" t="s">
        <v>463</v>
      </c>
      <c r="D240" s="24">
        <f>Tabla134689162432425058667482909810611412213013814615413816217017818619416217017820221021822623424225025826627428229029830631432233033834435236036837638416[[#This Row],[STOCK]]</f>
        <v>0</v>
      </c>
      <c r="E240" s="25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40" s="23"/>
      <c r="G240" s="24"/>
      <c r="H240" s="39"/>
      <c r="I240" s="40"/>
      <c r="J240" s="41"/>
      <c r="K240" s="39"/>
      <c r="L240" s="40"/>
      <c r="M240" s="41"/>
      <c r="N240" s="39"/>
      <c r="O240" s="40"/>
      <c r="P240" s="41"/>
      <c r="Q240" s="39"/>
      <c r="R240" s="23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41" spans="2:18" x14ac:dyDescent="0.2">
      <c r="B241" s="29" t="s">
        <v>464</v>
      </c>
      <c r="C241" s="30" t="s">
        <v>465</v>
      </c>
      <c r="D241" s="31">
        <f>Tabla134689162432425058667482909810611412213013814615413816217017818619416217017820221021822623424225025826627428229029830631432233033834435236036837638416[[#This Row],[STOCK]]</f>
        <v>0</v>
      </c>
      <c r="E241" s="32">
        <f>Tabla13468916243242505866748290981061141221301381461541381621701781861941621701782022102182262342422502582662742822902983063143223303383443523603683763841624[[#This Row],[INVENTARIO INICIAL]]+Tabla13468916243242505866748290981061141221301381461541381621701781861941621701782022102182262342422502582662742822902983063143223303383443523603683763841624[[#This Row],[INGRESO LUNES]]-Tabla13468916243242505866748290981061141221301381461541381621701781861941621701782022102182262342422502582662742822902983063143223303383443523603683763841624[[#This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Row],[INGRESO MARTES]]-Tabla13468916243242505866748290981061141221301381461541381621701781861941621701782022102182262342422502582662742822902983063143223303383443523603683763841624[[#This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Row],[INGRESO MIERCOLES]]-Tabla13468916243242505866748290981061141221301381461541381621701781861941621701782022102182262342422502582662742822902983063143223303383443523603683763841624[[#This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Row],[INGRESO JUEVES]]-Tabla13468916243242505866748290981061141221301381461541381621701781861941621701782022102182262342422502582662742822902983063143223303383443523603683763841624[[#This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Row],[INGRESO VIERNES]]-Tabla13468916243242505866748290981061141221301381461541381621701781861941621701782022102182262342422502582662742822902983063143223303383443523603683763841624[[#This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Row],[INGRESO SABADO]]-Tabla13468916243242505866748290981061141221301381461541381621701781861941621701782022102182262342422502582662742822902983063143223303383443523603683763841624[[#This Row],[SALIDA SABADO]]</f>
        <v>0</v>
      </c>
      <c r="F241" s="30"/>
      <c r="G241" s="31"/>
      <c r="H241" s="42"/>
      <c r="I241" s="43"/>
      <c r="J241" s="44"/>
      <c r="K241" s="42"/>
      <c r="L241" s="43"/>
      <c r="M241" s="44"/>
      <c r="N241" s="42"/>
      <c r="O241" s="43"/>
      <c r="P241" s="44"/>
      <c r="Q241" s="42"/>
      <c r="R241" s="30">
        <f>Tabla13468916243242505866748290981061141221301381461541381621701781861941621701782022102182262342422502582662742822902983063143223303383443523603683763841624[[#This Row],[VENTA LUNES]]+Tabla13468916243242505866748290981061141221301381461541381621701781861941621701782022102182262342422502582662742822902983063143223303383443523603683763841624[[#This Row],[VENTA MARTES]]+Tabla13468916243242505866748290981061141221301381461541381621701781861941621701782022102182262342422502582662742822902983063143223303383443523603683763841624[[#This Row],[VENTA MIERCOLES]]+Tabla13468916243242505866748290981061141221301381461541381621701781861941621701782022102182262342422502582662742822902983063143223303383443523603683763841624[[#This Row],[VENTA JUEVES]]+Tabla13468916243242505866748290981061141221301381461541381621701781861941621701782022102182262342422502582662742822902983063143223303383443523603683763841624[[#This Row],[SALIDA VIERNES]]+Tabla13468916243242505866748290981061141221301381461541381621701781861941621701782022102182262342422502582662742822902983063143223303383443523603683763841624[[#This Row],[SALIDA SABADO]]</f>
        <v>0</v>
      </c>
    </row>
    <row r="243" spans="2:18" s="54" customFormat="1" ht="38.25" x14ac:dyDescent="0.2">
      <c r="B243" s="17" t="s">
        <v>466</v>
      </c>
      <c r="C243" s="17" t="s">
        <v>5</v>
      </c>
      <c r="D243" s="17" t="s">
        <v>6</v>
      </c>
      <c r="E243" s="55" t="s">
        <v>7</v>
      </c>
      <c r="F243" s="17" t="s">
        <v>8</v>
      </c>
      <c r="G243" s="17" t="s">
        <v>51</v>
      </c>
      <c r="H243" s="17" t="s">
        <v>10</v>
      </c>
      <c r="I243" s="17" t="s">
        <v>11</v>
      </c>
      <c r="J243" s="17" t="s">
        <v>12</v>
      </c>
      <c r="K243" s="17" t="s">
        <v>13</v>
      </c>
      <c r="L243" s="17" t="s">
        <v>14</v>
      </c>
      <c r="M243" s="17" t="s">
        <v>15</v>
      </c>
      <c r="N243" s="17" t="s">
        <v>16</v>
      </c>
      <c r="O243" s="17" t="s">
        <v>17</v>
      </c>
      <c r="P243" s="17" t="s">
        <v>18</v>
      </c>
      <c r="Q243" s="17" t="s">
        <v>19</v>
      </c>
      <c r="R243" s="17" t="s">
        <v>20</v>
      </c>
    </row>
    <row r="244" spans="2:18" x14ac:dyDescent="0.2">
      <c r="B244" s="29" t="s">
        <v>467</v>
      </c>
      <c r="C244" s="30" t="s">
        <v>468</v>
      </c>
      <c r="D244" s="31">
        <f>Tabla13468910172533435159677583919910711512313113914715513916317117918719516317117920321121922723524325125926727528329129930731532333133934535336136937738517[[#This Row],[STOCK]]</f>
        <v>261</v>
      </c>
      <c r="E244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257</v>
      </c>
      <c r="F244" s="30"/>
      <c r="G244" s="31">
        <v>4</v>
      </c>
      <c r="H244" s="42"/>
      <c r="I244" s="43"/>
      <c r="J244" s="44"/>
      <c r="K244" s="42"/>
      <c r="L244" s="43"/>
      <c r="M244" s="44"/>
      <c r="N244" s="42"/>
      <c r="O244" s="43"/>
      <c r="P244" s="44"/>
      <c r="Q244" s="42"/>
      <c r="R244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4</v>
      </c>
    </row>
    <row r="245" spans="2:18" x14ac:dyDescent="0.2">
      <c r="B245" s="22" t="s">
        <v>469</v>
      </c>
      <c r="C245" s="23" t="s">
        <v>470</v>
      </c>
      <c r="D245" s="24">
        <f>Tabla13468910172533435159677583919910711512313113914715513916317117918719516317117920321121922723524325125926727528329129930731532333133934535336136937738517[[#This Row],[STOCK]]</f>
        <v>293</v>
      </c>
      <c r="E245" s="25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289</v>
      </c>
      <c r="F245" s="23"/>
      <c r="G245" s="24">
        <v>2</v>
      </c>
      <c r="H245" s="39"/>
      <c r="I245" s="40"/>
      <c r="J245" s="41"/>
      <c r="K245" s="39"/>
      <c r="L245" s="40"/>
      <c r="M245" s="41">
        <v>2</v>
      </c>
      <c r="N245" s="39"/>
      <c r="O245" s="40"/>
      <c r="P245" s="41"/>
      <c r="Q245" s="39"/>
      <c r="R245" s="23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4</v>
      </c>
    </row>
    <row r="246" spans="2:18" x14ac:dyDescent="0.2">
      <c r="B246" s="29" t="s">
        <v>471</v>
      </c>
      <c r="C246" s="30" t="s">
        <v>472</v>
      </c>
      <c r="D246" s="31">
        <f>Tabla13468910172533435159677583919910711512313113914715513916317117918719516317117920321121922723524325125926727528329129930731532333133934535336136937738517[[#This Row],[STOCK]]</f>
        <v>213</v>
      </c>
      <c r="E246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209</v>
      </c>
      <c r="F246" s="30"/>
      <c r="G246" s="31">
        <v>2</v>
      </c>
      <c r="H246" s="42"/>
      <c r="I246" s="43"/>
      <c r="J246" s="44"/>
      <c r="K246" s="42"/>
      <c r="L246" s="43"/>
      <c r="M246" s="44">
        <v>2</v>
      </c>
      <c r="N246" s="42"/>
      <c r="O246" s="43"/>
      <c r="P246" s="44"/>
      <c r="Q246" s="42"/>
      <c r="R246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4</v>
      </c>
    </row>
    <row r="247" spans="2:18" x14ac:dyDescent="0.2">
      <c r="B247" s="22" t="s">
        <v>473</v>
      </c>
      <c r="C247" s="23" t="s">
        <v>474</v>
      </c>
      <c r="D247" s="24">
        <f>Tabla13468910172533435159677583919910711512313113914715513916317117918719516317117920321121922723524325125926727528329129930731532333133934535336136937738517[[#This Row],[STOCK]]</f>
        <v>189</v>
      </c>
      <c r="E247" s="25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182</v>
      </c>
      <c r="F247" s="23"/>
      <c r="G247" s="24">
        <v>2</v>
      </c>
      <c r="H247" s="39"/>
      <c r="I247" s="40"/>
      <c r="J247" s="41"/>
      <c r="K247" s="39"/>
      <c r="L247" s="40"/>
      <c r="M247" s="41"/>
      <c r="N247" s="39"/>
      <c r="O247" s="40">
        <v>5</v>
      </c>
      <c r="P247" s="41"/>
      <c r="Q247" s="39"/>
      <c r="R247" s="23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7</v>
      </c>
    </row>
    <row r="248" spans="2:18" x14ac:dyDescent="0.2">
      <c r="B248" s="29" t="s">
        <v>475</v>
      </c>
      <c r="C248" s="30" t="s">
        <v>476</v>
      </c>
      <c r="D248" s="31">
        <f>Tabla13468910172533435159677583919910711512313113914715513916317117918719516317117920321121922723524325125926727528329129930731532333133934535336136937738517[[#This Row],[STOCK]]</f>
        <v>614</v>
      </c>
      <c r="E248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609</v>
      </c>
      <c r="F248" s="30"/>
      <c r="G248" s="31">
        <v>2</v>
      </c>
      <c r="H248" s="42"/>
      <c r="I248" s="43"/>
      <c r="J248" s="44"/>
      <c r="K248" s="42"/>
      <c r="L248" s="43"/>
      <c r="M248" s="44"/>
      <c r="N248" s="42"/>
      <c r="O248" s="43">
        <v>3</v>
      </c>
      <c r="P248" s="44"/>
      <c r="Q248" s="42"/>
      <c r="R248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5</v>
      </c>
    </row>
    <row r="249" spans="2:18" x14ac:dyDescent="0.2">
      <c r="B249" s="22" t="s">
        <v>477</v>
      </c>
      <c r="C249" s="23" t="s">
        <v>478</v>
      </c>
      <c r="D249" s="24">
        <f>Tabla13468910172533435159677583919910711512313113914715513916317117918719516317117920321121922723524325125926727528329129930731532333133934535336136937738517[[#This Row],[STOCK]]</f>
        <v>263</v>
      </c>
      <c r="E249" s="25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253</v>
      </c>
      <c r="F249" s="23"/>
      <c r="G249" s="24">
        <v>2</v>
      </c>
      <c r="H249" s="39"/>
      <c r="I249" s="40"/>
      <c r="J249" s="41"/>
      <c r="K249" s="39"/>
      <c r="L249" s="40"/>
      <c r="M249" s="41"/>
      <c r="N249" s="39"/>
      <c r="O249" s="40">
        <v>8</v>
      </c>
      <c r="P249" s="41"/>
      <c r="Q249" s="39"/>
      <c r="R249" s="23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10</v>
      </c>
    </row>
    <row r="250" spans="2:18" x14ac:dyDescent="0.2">
      <c r="B250" s="29" t="s">
        <v>479</v>
      </c>
      <c r="C250" s="30" t="s">
        <v>480</v>
      </c>
      <c r="D250" s="31">
        <f>Tabla13468910172533435159677583919910711512313113914715513916317117918719516317117920321121922723524325125926727528329129930731532333133934535336136937738517[[#This Row],[STOCK]]</f>
        <v>268</v>
      </c>
      <c r="E250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252</v>
      </c>
      <c r="F250" s="30"/>
      <c r="G250" s="31">
        <v>2</v>
      </c>
      <c r="H250" s="42"/>
      <c r="I250" s="43">
        <v>2</v>
      </c>
      <c r="J250" s="44"/>
      <c r="K250" s="42"/>
      <c r="L250" s="43"/>
      <c r="M250" s="44"/>
      <c r="N250" s="42"/>
      <c r="O250" s="43">
        <v>12</v>
      </c>
      <c r="P250" s="44"/>
      <c r="Q250" s="42"/>
      <c r="R250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16</v>
      </c>
    </row>
    <row r="251" spans="2:18" x14ac:dyDescent="0.2">
      <c r="B251" s="22" t="s">
        <v>481</v>
      </c>
      <c r="C251" s="23" t="s">
        <v>482</v>
      </c>
      <c r="D251" s="24">
        <f>Tabla13468910172533435159677583919910711512313113914715513916317117918719516317117920321121922723524325125926727528329129930731532333133934535336136937738517[[#This Row],[STOCK]]</f>
        <v>1030</v>
      </c>
      <c r="E251" s="25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1187</v>
      </c>
      <c r="F251" s="23"/>
      <c r="G251" s="24">
        <v>3</v>
      </c>
      <c r="H251" s="39"/>
      <c r="I251" s="40">
        <v>12</v>
      </c>
      <c r="J251" s="41"/>
      <c r="K251" s="39"/>
      <c r="L251" s="40"/>
      <c r="M251" s="41"/>
      <c r="N251" s="39"/>
      <c r="O251" s="40">
        <v>8</v>
      </c>
      <c r="P251" s="41">
        <v>180</v>
      </c>
      <c r="Q251" s="39"/>
      <c r="R251" s="23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23</v>
      </c>
    </row>
    <row r="252" spans="2:18" x14ac:dyDescent="0.2">
      <c r="B252" s="29" t="s">
        <v>483</v>
      </c>
      <c r="C252" s="30" t="s">
        <v>484</v>
      </c>
      <c r="D252" s="31">
        <f>Tabla13468910172533435159677583919910711512313113914715513916317117918719516317117920321121922723524325125926727528329129930731532333133934535336136937738517[[#This Row],[STOCK]]</f>
        <v>716</v>
      </c>
      <c r="E252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693</v>
      </c>
      <c r="F252" s="30"/>
      <c r="G252" s="31">
        <v>3</v>
      </c>
      <c r="H252" s="42"/>
      <c r="I252" s="43">
        <v>12</v>
      </c>
      <c r="J252" s="44"/>
      <c r="K252" s="42"/>
      <c r="L252" s="43"/>
      <c r="M252" s="44"/>
      <c r="N252" s="42"/>
      <c r="O252" s="43">
        <v>8</v>
      </c>
      <c r="P252" s="44"/>
      <c r="Q252" s="42"/>
      <c r="R252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23</v>
      </c>
    </row>
    <row r="253" spans="2:18" x14ac:dyDescent="0.2">
      <c r="B253" s="22" t="s">
        <v>485</v>
      </c>
      <c r="C253" s="23" t="s">
        <v>486</v>
      </c>
      <c r="D253" s="24">
        <f>Tabla13468910172533435159677583919910711512313113914715513916317117918719516317117920321121922723524325125926727528329129930731532333133934535336136937738517[[#This Row],[STOCK]]</f>
        <v>588</v>
      </c>
      <c r="E253" s="25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588</v>
      </c>
      <c r="F253" s="23"/>
      <c r="G253" s="24"/>
      <c r="H253" s="39"/>
      <c r="I253" s="40"/>
      <c r="J253" s="41"/>
      <c r="K253" s="39"/>
      <c r="L253" s="40"/>
      <c r="M253" s="41"/>
      <c r="N253" s="39"/>
      <c r="O253" s="40"/>
      <c r="P253" s="41"/>
      <c r="Q253" s="39"/>
      <c r="R253" s="23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0</v>
      </c>
    </row>
    <row r="254" spans="2:18" x14ac:dyDescent="0.2">
      <c r="B254" s="29" t="s">
        <v>487</v>
      </c>
      <c r="C254" s="30" t="s">
        <v>488</v>
      </c>
      <c r="D254" s="31">
        <f>Tabla13468910172533435159677583919910711512313113914715513916317117918719516317117920321121922723524325125926727528329129930731532333133934535336136937738517[[#This Row],[STOCK]]</f>
        <v>240</v>
      </c>
      <c r="E254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235</v>
      </c>
      <c r="F254" s="30"/>
      <c r="G254" s="31"/>
      <c r="H254" s="42"/>
      <c r="I254" s="43">
        <v>3</v>
      </c>
      <c r="J254" s="44"/>
      <c r="K254" s="42"/>
      <c r="L254" s="43"/>
      <c r="M254" s="44"/>
      <c r="N254" s="42"/>
      <c r="O254" s="43">
        <v>2</v>
      </c>
      <c r="P254" s="44"/>
      <c r="Q254" s="42"/>
      <c r="R254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5</v>
      </c>
    </row>
    <row r="255" spans="2:18" x14ac:dyDescent="0.2">
      <c r="B255" s="22" t="s">
        <v>489</v>
      </c>
      <c r="C255" s="23" t="s">
        <v>490</v>
      </c>
      <c r="D255" s="24">
        <f>Tabla13468910172533435159677583919910711512313113914715513916317117918719516317117920321121922723524325125926727528329129930731532333133934535336136937738517[[#This Row],[STOCK]]</f>
        <v>350</v>
      </c>
      <c r="E255" s="25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346</v>
      </c>
      <c r="F255" s="23"/>
      <c r="G255" s="24"/>
      <c r="H255" s="39"/>
      <c r="I255" s="40">
        <v>2</v>
      </c>
      <c r="J255" s="41"/>
      <c r="K255" s="39"/>
      <c r="L255" s="40"/>
      <c r="M255" s="41"/>
      <c r="N255" s="39"/>
      <c r="O255" s="40">
        <v>2</v>
      </c>
      <c r="P255" s="41"/>
      <c r="Q255" s="39"/>
      <c r="R255" s="23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4</v>
      </c>
    </row>
    <row r="256" spans="2:18" x14ac:dyDescent="0.2">
      <c r="B256" s="29" t="s">
        <v>491</v>
      </c>
      <c r="C256" s="30" t="s">
        <v>492</v>
      </c>
      <c r="D256" s="31">
        <f>Tabla13468910172533435159677583919910711512313113914715513916317117918719516317117920321121922723524325125926727528329129930731532333133934535336136937738517[[#This Row],[STOCK]]</f>
        <v>117</v>
      </c>
      <c r="E256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111</v>
      </c>
      <c r="F256" s="30"/>
      <c r="G256" s="31">
        <v>1</v>
      </c>
      <c r="H256" s="42"/>
      <c r="I256" s="43">
        <v>3</v>
      </c>
      <c r="J256" s="44"/>
      <c r="K256" s="42"/>
      <c r="L256" s="43"/>
      <c r="M256" s="44"/>
      <c r="N256" s="42"/>
      <c r="O256" s="43">
        <v>2</v>
      </c>
      <c r="P256" s="44"/>
      <c r="Q256" s="42"/>
      <c r="R256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6</v>
      </c>
    </row>
    <row r="257" spans="2:18" x14ac:dyDescent="0.2">
      <c r="B257" s="22" t="s">
        <v>493</v>
      </c>
      <c r="C257" s="23" t="s">
        <v>494</v>
      </c>
      <c r="D257" s="24">
        <f>Tabla13468910172533435159677583919910711512313113914715513916317117918719516317117920321121922723524325125926727528329129930731532333133934535336136937738517[[#This Row],[STOCK]]</f>
        <v>224</v>
      </c>
      <c r="E257" s="25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221</v>
      </c>
      <c r="F257" s="23"/>
      <c r="G257" s="24"/>
      <c r="H257" s="39"/>
      <c r="I257" s="40"/>
      <c r="J257" s="41"/>
      <c r="K257" s="39"/>
      <c r="L257" s="40"/>
      <c r="M257" s="41"/>
      <c r="N257" s="39"/>
      <c r="O257" s="40">
        <v>3</v>
      </c>
      <c r="P257" s="41"/>
      <c r="Q257" s="39"/>
      <c r="R257" s="23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3</v>
      </c>
    </row>
    <row r="258" spans="2:18" x14ac:dyDescent="0.2">
      <c r="B258" s="29" t="s">
        <v>495</v>
      </c>
      <c r="C258" s="30" t="s">
        <v>496</v>
      </c>
      <c r="D258" s="31">
        <f>Tabla13468910172533435159677583919910711512313113914715513916317117918719516317117920321121922723524325125926727528329129930731532333133934535336136937738517[[#This Row],[STOCK]]</f>
        <v>355</v>
      </c>
      <c r="E258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353</v>
      </c>
      <c r="F258" s="30"/>
      <c r="G258" s="31"/>
      <c r="H258" s="42"/>
      <c r="I258" s="43"/>
      <c r="J258" s="44"/>
      <c r="K258" s="42"/>
      <c r="L258" s="43"/>
      <c r="M258" s="44"/>
      <c r="N258" s="42"/>
      <c r="O258" s="43">
        <v>2</v>
      </c>
      <c r="P258" s="44"/>
      <c r="Q258" s="42"/>
      <c r="R258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2</v>
      </c>
    </row>
    <row r="259" spans="2:18" x14ac:dyDescent="0.2">
      <c r="B259" s="22" t="s">
        <v>497</v>
      </c>
      <c r="C259" s="23" t="s">
        <v>498</v>
      </c>
      <c r="D259" s="24">
        <f>Tabla13468910172533435159677583919910711512313113914715513916317117918719516317117920321121922723524325125926727528329129930731532333133934535336136937738517[[#This Row],[STOCK]]</f>
        <v>432</v>
      </c>
      <c r="E259" s="25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430</v>
      </c>
      <c r="F259" s="23"/>
      <c r="G259" s="24"/>
      <c r="H259" s="39"/>
      <c r="I259" s="40">
        <v>2</v>
      </c>
      <c r="J259" s="41"/>
      <c r="K259" s="39"/>
      <c r="L259" s="40"/>
      <c r="M259" s="41"/>
      <c r="N259" s="39"/>
      <c r="O259" s="40"/>
      <c r="P259" s="41"/>
      <c r="Q259" s="39"/>
      <c r="R259" s="23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2</v>
      </c>
    </row>
    <row r="260" spans="2:18" x14ac:dyDescent="0.2">
      <c r="B260" s="29" t="s">
        <v>499</v>
      </c>
      <c r="C260" s="30" t="s">
        <v>500</v>
      </c>
      <c r="D260" s="31">
        <f>Tabla13468910172533435159677583919910711512313113914715513916317117918719516317117920321121922723524325125926727528329129930731532333133934535336136937738517[[#This Row],[STOCK]]</f>
        <v>837</v>
      </c>
      <c r="E260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837</v>
      </c>
      <c r="F260" s="30"/>
      <c r="G260" s="31"/>
      <c r="H260" s="42"/>
      <c r="I260" s="43"/>
      <c r="J260" s="44"/>
      <c r="K260" s="42"/>
      <c r="L260" s="43"/>
      <c r="M260" s="44"/>
      <c r="N260" s="42"/>
      <c r="O260" s="43"/>
      <c r="P260" s="44"/>
      <c r="Q260" s="42"/>
      <c r="R260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0</v>
      </c>
    </row>
    <row r="261" spans="2:18" x14ac:dyDescent="0.2">
      <c r="B261" s="22" t="s">
        <v>501</v>
      </c>
      <c r="C261" s="23" t="s">
        <v>502</v>
      </c>
      <c r="D261" s="24">
        <f>Tabla13468910172533435159677583919910711512313113914715513916317117918719516317117920321121922723524325125926727528329129930731532333133934535336136937738517[[#This Row],[STOCK]]</f>
        <v>389</v>
      </c>
      <c r="E261" s="25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389</v>
      </c>
      <c r="F261" s="23"/>
      <c r="G261" s="24"/>
      <c r="H261" s="39"/>
      <c r="I261" s="40"/>
      <c r="J261" s="41"/>
      <c r="K261" s="39"/>
      <c r="L261" s="40"/>
      <c r="M261" s="41"/>
      <c r="N261" s="39"/>
      <c r="O261" s="40"/>
      <c r="P261" s="41"/>
      <c r="Q261" s="39"/>
      <c r="R261" s="23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0</v>
      </c>
    </row>
    <row r="262" spans="2:18" x14ac:dyDescent="0.2">
      <c r="B262" s="29" t="s">
        <v>503</v>
      </c>
      <c r="C262" s="30" t="s">
        <v>504</v>
      </c>
      <c r="D262" s="31">
        <f>Tabla13468910172533435159677583919910711512313113914715513916317117918719516317117920321121922723524325125926727528329129930731532333133934535336136937738517[[#This Row],[STOCK]]</f>
        <v>249</v>
      </c>
      <c r="E262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249</v>
      </c>
      <c r="F262" s="30"/>
      <c r="G262" s="31"/>
      <c r="H262" s="42"/>
      <c r="I262" s="43"/>
      <c r="J262" s="44"/>
      <c r="K262" s="42"/>
      <c r="L262" s="43"/>
      <c r="M262" s="44"/>
      <c r="N262" s="42"/>
      <c r="O262" s="43"/>
      <c r="P262" s="44"/>
      <c r="Q262" s="42"/>
      <c r="R262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0</v>
      </c>
    </row>
    <row r="263" spans="2:18" x14ac:dyDescent="0.2">
      <c r="B263" s="22" t="s">
        <v>505</v>
      </c>
      <c r="C263" s="23" t="s">
        <v>506</v>
      </c>
      <c r="D263" s="24">
        <f>Tabla13468910172533435159677583919910711512313113914715513916317117918719516317117920321121922723524325125926727528329129930731532333133934535336136937738517[[#This Row],[STOCK]]</f>
        <v>465</v>
      </c>
      <c r="E263" s="25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461</v>
      </c>
      <c r="F263" s="23"/>
      <c r="G263" s="24"/>
      <c r="H263" s="39"/>
      <c r="I263" s="40">
        <v>2</v>
      </c>
      <c r="J263" s="41"/>
      <c r="K263" s="39"/>
      <c r="L263" s="40"/>
      <c r="M263" s="41"/>
      <c r="N263" s="39"/>
      <c r="O263" s="40">
        <v>2</v>
      </c>
      <c r="P263" s="41"/>
      <c r="Q263" s="39"/>
      <c r="R263" s="23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4</v>
      </c>
    </row>
    <row r="264" spans="2:18" x14ac:dyDescent="0.2">
      <c r="B264" s="29" t="s">
        <v>507</v>
      </c>
      <c r="C264" s="30" t="s">
        <v>508</v>
      </c>
      <c r="D264" s="31">
        <f>Tabla13468910172533435159677583919910711512313113914715513916317117918719516317117920321121922723524325125926727528329129930731532333133934535336136937738517[[#This Row],[STOCK]]</f>
        <v>108</v>
      </c>
      <c r="E264" s="32">
        <f>Tabla1346891017253343515967758391991071151231311391471551391631711791871951631711792032112192272352432512592672752832912993073153233313393453533613693773851725[[#This Row],[INVENTARIO INICIAL]]+Tabla1346891017253343515967758391991071151231311391471551391631711791871951631711792032112192272352432512592672752832912993073153233313393453533613693773851725[[#This Row],[INGRESO LUNES]]-Tabla1346891017253343515967758391991071151231311391471551391631711791871951631711792032112192272352432512592672752832912993073153233313393453533613693773851725[[#This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Row],[INGRESO MARTES]]-Tabla1346891017253343515967758391991071151231311391471551391631711791871951631711792032112192272352432512592672752832912993073153233313393453533613693773851725[[#This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Row],[INGRESO MIERCOLES]]-Tabla1346891017253343515967758391991071151231311391471551391631711791871951631711792032112192272352432512592672752832912993073153233313393453533613693773851725[[#This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Row],[INGRESO JUEVES]]-Tabla1346891017253343515967758391991071151231311391471551391631711791871951631711792032112192272352432512592672752832912993073153233313393453533613693773851725[[#This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Row],[INGRESO VIERNES]]-Tabla1346891017253343515967758391991071151231311391471551391631711791871951631711792032112192272352432512592672752832912993073153233313393453533613693773851725[[#This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 INGRESO SABADO]]-Tabla1346891017253343515967758391991071151231311391471551391631711791871951631711792032112192272352432512592672752832912993073153233313393453533613693773851725[[#This Row],[VENTA SABADO]]</f>
        <v>107</v>
      </c>
      <c r="F264" s="30"/>
      <c r="G264" s="31"/>
      <c r="H264" s="42"/>
      <c r="I264" s="43">
        <v>1</v>
      </c>
      <c r="J264" s="44"/>
      <c r="K264" s="42"/>
      <c r="L264" s="43"/>
      <c r="M264" s="44"/>
      <c r="N264" s="42"/>
      <c r="O264" s="43"/>
      <c r="P264" s="44"/>
      <c r="Q264" s="42"/>
      <c r="R264" s="30">
        <f>Tabla1346891017253343515967758391991071151231311391471551391631711791871951631711792032112192272352432512592672752832912993073153233313393453533613693773851725[[#This Row],[VENTA LUNES]]+Tabla1346891017253343515967758391991071151231311391471551391631711791871951631711792032112192272352432512592672752832912993073153233313393453533613693773851725[[#This Row],[VENTA MARTES]]+Tabla1346891017253343515967758391991071151231311391471551391631711791871951631711792032112192272352432512592672752832912993073153233313393453533613693773851725[[#This Row],[VENTA MIERCOLES]]+Tabla1346891017253343515967758391991071151231311391471551391631711791871951631711792032112192272352432512592672752832912993073153233313393453533613693773851725[[#This Row],[VENTA JUEVES]]+Tabla1346891017253343515967758391991071151231311391471551391631711791871951631711792032112192272352432512592672752832912993073153233313393453533613693773851725[[#This Row],[VENTA VIERNES]]+Tabla1346891017253343515967758391991071151231311391471551391631711791871951631711792032112192272352432512592672752832912993073153233313393453533613693773851725[[#This Row],[VENTA SABADO]]</f>
        <v>1</v>
      </c>
    </row>
  </sheetData>
  <mergeCells count="5">
    <mergeCell ref="B1:G2"/>
    <mergeCell ref="B4:B5"/>
    <mergeCell ref="C4:D4"/>
    <mergeCell ref="C5:D5"/>
    <mergeCell ref="S20:V20"/>
  </mergeCells>
  <conditionalFormatting sqref="E26:E29">
    <cfRule type="cellIs" dxfId="809" priority="29" operator="lessThan">
      <formula>51</formula>
    </cfRule>
    <cfRule type="cellIs" dxfId="808" priority="30" operator="lessThan">
      <formula>0</formula>
    </cfRule>
  </conditionalFormatting>
  <conditionalFormatting sqref="E30:E39">
    <cfRule type="cellIs" dxfId="807" priority="27" operator="lessThan">
      <formula>51</formula>
    </cfRule>
    <cfRule type="cellIs" dxfId="806" priority="28" operator="lessThan">
      <formula>0</formula>
    </cfRule>
  </conditionalFormatting>
  <conditionalFormatting sqref="E40:E56">
    <cfRule type="cellIs" dxfId="805" priority="25" operator="lessThan">
      <formula>51</formula>
    </cfRule>
    <cfRule type="cellIs" dxfId="804" priority="26" operator="lessThan">
      <formula>0</formula>
    </cfRule>
  </conditionalFormatting>
  <conditionalFormatting sqref="E59:E61">
    <cfRule type="cellIs" dxfId="803" priority="23" operator="lessThan">
      <formula>51</formula>
    </cfRule>
    <cfRule type="cellIs" dxfId="802" priority="24" operator="lessThan">
      <formula>0</formula>
    </cfRule>
  </conditionalFormatting>
  <conditionalFormatting sqref="E62:E71">
    <cfRule type="cellIs" dxfId="801" priority="21" operator="lessThan">
      <formula>51</formula>
    </cfRule>
    <cfRule type="cellIs" dxfId="800" priority="22" operator="lessThan">
      <formula>0</formula>
    </cfRule>
  </conditionalFormatting>
  <conditionalFormatting sqref="E72:E88">
    <cfRule type="cellIs" dxfId="799" priority="19" operator="lessThan">
      <formula>51</formula>
    </cfRule>
    <cfRule type="cellIs" dxfId="798" priority="20" operator="lessThan">
      <formula>0</formula>
    </cfRule>
  </conditionalFormatting>
  <conditionalFormatting sqref="E89:E92">
    <cfRule type="cellIs" dxfId="797" priority="17" operator="lessThan">
      <formula>51</formula>
    </cfRule>
    <cfRule type="cellIs" dxfId="796" priority="18" operator="lessThan">
      <formula>0</formula>
    </cfRule>
  </conditionalFormatting>
  <conditionalFormatting sqref="E93:E96">
    <cfRule type="cellIs" dxfId="795" priority="15" operator="lessThan">
      <formula>51</formula>
    </cfRule>
    <cfRule type="cellIs" dxfId="794" priority="16" operator="lessThan">
      <formula>0</formula>
    </cfRule>
  </conditionalFormatting>
  <conditionalFormatting sqref="E99:E134">
    <cfRule type="cellIs" dxfId="793" priority="13" operator="lessThan">
      <formula>51</formula>
    </cfRule>
    <cfRule type="cellIs" dxfId="792" priority="14" operator="lessThan">
      <formula>0</formula>
    </cfRule>
  </conditionalFormatting>
  <conditionalFormatting sqref="E137:E151">
    <cfRule type="cellIs" dxfId="791" priority="11" operator="lessThan">
      <formula>51</formula>
    </cfRule>
    <cfRule type="cellIs" dxfId="790" priority="12" operator="lessThan">
      <formula>0</formula>
    </cfRule>
  </conditionalFormatting>
  <conditionalFormatting sqref="E154:E193">
    <cfRule type="cellIs" dxfId="789" priority="9" operator="lessThan">
      <formula>51</formula>
    </cfRule>
    <cfRule type="cellIs" dxfId="788" priority="10" operator="lessThan">
      <formula>0</formula>
    </cfRule>
  </conditionalFormatting>
  <conditionalFormatting sqref="E235:E241">
    <cfRule type="cellIs" dxfId="787" priority="7" operator="lessThan">
      <formula>51</formula>
    </cfRule>
    <cfRule type="cellIs" dxfId="786" priority="8" operator="lessThan">
      <formula>0</formula>
    </cfRule>
  </conditionalFormatting>
  <conditionalFormatting sqref="E196:E234">
    <cfRule type="cellIs" dxfId="785" priority="5" operator="lessThan">
      <formula>51</formula>
    </cfRule>
    <cfRule type="cellIs" dxfId="784" priority="6" operator="lessThan">
      <formula>0</formula>
    </cfRule>
  </conditionalFormatting>
  <conditionalFormatting sqref="E244:E264">
    <cfRule type="cellIs" dxfId="783" priority="3" operator="lessThan">
      <formula>51</formula>
    </cfRule>
    <cfRule type="cellIs" dxfId="782" priority="4" operator="lessThan">
      <formula>0</formula>
    </cfRule>
  </conditionalFormatting>
  <conditionalFormatting sqref="E10:E23">
    <cfRule type="cellIs" dxfId="781" priority="1" operator="lessThan">
      <formula>51</formula>
    </cfRule>
    <cfRule type="cellIs" dxfId="780" priority="2" operator="lessThan">
      <formula>0</formula>
    </cfRule>
  </conditionalFormatting>
  <pageMargins left="0.5" right="0.5" top="0.5" bottom="0.5" header="0.5" footer="0.5"/>
  <pageSetup orientation="landscape" horizontalDpi="360" verticalDpi="360" r:id="rId1"/>
  <headerFooter alignWithMargins="0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6F27-AC1F-4A46-A181-12D237F67BF9}">
  <sheetPr>
    <pageSetUpPr autoPageBreaks="0"/>
  </sheetPr>
  <dimension ref="A1:V264"/>
  <sheetViews>
    <sheetView showGridLines="0" topLeftCell="A3" zoomScale="140" zoomScaleNormal="140" workbookViewId="0">
      <pane xSplit="5" ySplit="6" topLeftCell="Q25" activePane="bottomRight" state="frozen"/>
      <selection activeCell="A3" sqref="A3"/>
      <selection pane="topRight" activeCell="F3" sqref="F3"/>
      <selection pane="bottomLeft" activeCell="A8" sqref="A8"/>
      <selection pane="bottomRight" activeCell="Q33" sqref="Q33"/>
    </sheetView>
  </sheetViews>
  <sheetFormatPr baseColWidth="10" defaultColWidth="9.140625" defaultRowHeight="12.75" x14ac:dyDescent="0.2"/>
  <cols>
    <col min="1" max="1" width="1.7109375" customWidth="1"/>
    <col min="2" max="2" width="50.140625" customWidth="1"/>
    <col min="3" max="3" width="8" customWidth="1"/>
    <col min="4" max="4" width="11.140625" style="56" customWidth="1"/>
    <col min="5" max="5" width="16.28515625" style="57" customWidth="1"/>
    <col min="6" max="6" width="11.140625" style="3" customWidth="1"/>
    <col min="7" max="7" width="11" style="3" customWidth="1"/>
    <col min="8" max="8" width="11.85546875" style="3" customWidth="1"/>
    <col min="9" max="9" width="11.5703125" style="3" customWidth="1"/>
    <col min="10" max="10" width="14.42578125" style="3" customWidth="1"/>
    <col min="11" max="11" width="13.85546875" style="3" customWidth="1"/>
    <col min="12" max="12" width="11.7109375" style="3" customWidth="1"/>
    <col min="13" max="13" width="11.28515625" style="3" customWidth="1"/>
    <col min="14" max="15" width="12" style="3" customWidth="1"/>
    <col min="16" max="16" width="11.85546875" style="3" customWidth="1"/>
    <col min="17" max="17" width="12.42578125" style="3" customWidth="1"/>
    <col min="18" max="18" width="12.7109375" style="3" customWidth="1"/>
  </cols>
  <sheetData>
    <row r="1" spans="1:18" ht="8.1" customHeight="1" x14ac:dyDescent="0.2">
      <c r="A1" s="1"/>
      <c r="B1" s="66" t="s">
        <v>0</v>
      </c>
      <c r="C1" s="66"/>
      <c r="D1" s="66"/>
      <c r="E1" s="66"/>
      <c r="F1" s="66"/>
      <c r="G1" s="66"/>
      <c r="H1" s="2"/>
      <c r="I1" s="2"/>
      <c r="J1" s="2"/>
    </row>
    <row r="2" spans="1:18" ht="51.95" customHeight="1" x14ac:dyDescent="0.2">
      <c r="A2" s="1"/>
      <c r="B2" s="66"/>
      <c r="C2" s="66"/>
      <c r="D2" s="66"/>
      <c r="E2" s="66"/>
      <c r="F2" s="66"/>
      <c r="G2" s="66"/>
      <c r="H2" s="2"/>
      <c r="I2" s="2"/>
      <c r="J2" s="2"/>
    </row>
    <row r="3" spans="1:18" ht="8.1" customHeight="1" x14ac:dyDescent="0.2">
      <c r="A3" s="4"/>
      <c r="B3" s="5"/>
      <c r="C3" s="5"/>
      <c r="D3" s="6"/>
      <c r="E3" s="7"/>
      <c r="F3" s="2"/>
      <c r="G3" s="2"/>
      <c r="H3" s="2"/>
      <c r="I3" s="2"/>
      <c r="J3" s="2"/>
    </row>
    <row r="4" spans="1:18" ht="22.5" customHeight="1" x14ac:dyDescent="0.2">
      <c r="A4" s="4"/>
      <c r="B4" s="67" t="s">
        <v>1</v>
      </c>
      <c r="C4" s="69" t="s">
        <v>2</v>
      </c>
      <c r="D4" s="70"/>
      <c r="E4" s="8"/>
      <c r="F4" s="9"/>
    </row>
    <row r="5" spans="1:18" ht="17.25" customHeight="1" x14ac:dyDescent="0.2">
      <c r="A5" s="4"/>
      <c r="B5" s="68"/>
      <c r="C5" s="71" t="s">
        <v>3</v>
      </c>
      <c r="D5" s="72"/>
      <c r="E5" s="10"/>
      <c r="F5" s="9"/>
    </row>
    <row r="6" spans="1:18" ht="8.25" customHeight="1" x14ac:dyDescent="0.2">
      <c r="A6" s="4"/>
      <c r="B6" s="11"/>
      <c r="C6" s="9"/>
      <c r="D6" s="9"/>
      <c r="E6" s="12"/>
      <c r="F6" s="9"/>
    </row>
    <row r="7" spans="1:18" ht="18.75" customHeight="1" x14ac:dyDescent="0.2">
      <c r="A7" s="4"/>
      <c r="D7" s="13"/>
      <c r="E7" s="13"/>
      <c r="F7" s="9"/>
      <c r="G7" s="14"/>
      <c r="H7" s="14"/>
      <c r="I7" s="14"/>
      <c r="J7" s="15"/>
    </row>
    <row r="8" spans="1:18" ht="15.95" customHeight="1" x14ac:dyDescent="0.2">
      <c r="A8" s="4"/>
      <c r="C8" s="13"/>
      <c r="D8" s="13"/>
      <c r="E8" s="13"/>
      <c r="F8" s="9"/>
      <c r="G8" s="14"/>
      <c r="H8" s="14"/>
      <c r="I8" s="14"/>
      <c r="J8" s="15"/>
    </row>
    <row r="9" spans="1:18" ht="38.25" customHeight="1" x14ac:dyDescent="0.2">
      <c r="A9" s="4"/>
      <c r="B9" s="16" t="s">
        <v>4</v>
      </c>
      <c r="C9" s="17" t="s">
        <v>5</v>
      </c>
      <c r="D9" s="18" t="s">
        <v>6</v>
      </c>
      <c r="E9" s="19" t="s">
        <v>7</v>
      </c>
      <c r="F9" s="20" t="s">
        <v>8</v>
      </c>
      <c r="G9" s="20" t="s">
        <v>9</v>
      </c>
      <c r="H9" s="20" t="s">
        <v>10</v>
      </c>
      <c r="I9" s="20" t="s">
        <v>11</v>
      </c>
      <c r="J9" s="20" t="s">
        <v>12</v>
      </c>
      <c r="K9" s="20" t="s">
        <v>13</v>
      </c>
      <c r="L9" s="20" t="s">
        <v>14</v>
      </c>
      <c r="M9" s="20" t="s">
        <v>15</v>
      </c>
      <c r="N9" s="20" t="s">
        <v>16</v>
      </c>
      <c r="O9" s="20" t="s">
        <v>17</v>
      </c>
      <c r="P9" s="20" t="s">
        <v>18</v>
      </c>
      <c r="Q9" s="20" t="s">
        <v>19</v>
      </c>
      <c r="R9" s="21" t="s">
        <v>20</v>
      </c>
    </row>
    <row r="10" spans="1:18" ht="15.75" customHeight="1" x14ac:dyDescent="0.2">
      <c r="A10" s="4"/>
      <c r="B10" s="22" t="s">
        <v>21</v>
      </c>
      <c r="C10" s="23" t="s">
        <v>22</v>
      </c>
      <c r="D10" s="24">
        <f>STOCK68768492100108116124132140148132156164172180188156164172196204212220228236244252260268276284292300308316324332343463543623703781018[[#This Row],[STOCK]]</f>
        <v>495</v>
      </c>
      <c r="E10" s="25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426</v>
      </c>
      <c r="F10" s="26"/>
      <c r="G10" s="23">
        <v>11</v>
      </c>
      <c r="H10" s="27"/>
      <c r="I10" s="23">
        <v>7</v>
      </c>
      <c r="J10" s="23"/>
      <c r="K10" s="23">
        <v>36</v>
      </c>
      <c r="L10" s="23"/>
      <c r="M10" s="23">
        <v>14</v>
      </c>
      <c r="N10" s="23"/>
      <c r="O10" s="23"/>
      <c r="P10" s="23"/>
      <c r="Q10" s="23">
        <v>1</v>
      </c>
      <c r="R10" s="28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69</v>
      </c>
    </row>
    <row r="11" spans="1:18" ht="15.75" customHeight="1" x14ac:dyDescent="0.2">
      <c r="A11" s="4"/>
      <c r="B11" s="29" t="s">
        <v>23</v>
      </c>
      <c r="C11" s="30" t="s">
        <v>24</v>
      </c>
      <c r="D11" s="31">
        <f>STOCK68768492100108116124132140148132156164172180188156164172196204212220228236244252260268276284292300308316324332343463543623703781018[[#This Row],[STOCK]]</f>
        <v>309</v>
      </c>
      <c r="E11" s="32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398</v>
      </c>
      <c r="F11" s="33"/>
      <c r="G11" s="30">
        <v>5</v>
      </c>
      <c r="H11" s="34">
        <v>71</v>
      </c>
      <c r="I11" s="30">
        <v>9</v>
      </c>
      <c r="J11" s="30"/>
      <c r="K11" s="30">
        <v>35</v>
      </c>
      <c r="L11" s="30"/>
      <c r="M11" s="30">
        <v>4</v>
      </c>
      <c r="N11" s="30"/>
      <c r="O11" s="30"/>
      <c r="P11" s="30">
        <v>72</v>
      </c>
      <c r="Q11" s="30">
        <v>1</v>
      </c>
      <c r="R11" s="35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54</v>
      </c>
    </row>
    <row r="12" spans="1:18" ht="15.75" customHeight="1" x14ac:dyDescent="0.2">
      <c r="A12" s="4"/>
      <c r="B12" s="22" t="s">
        <v>25</v>
      </c>
      <c r="C12" s="23" t="s">
        <v>26</v>
      </c>
      <c r="D12" s="24">
        <f>STOCK68768492100108116124132140148132156164172180188156164172196204212220228236244252260268276284292300308316324332343463543623703781018[[#This Row],[STOCK]]</f>
        <v>291</v>
      </c>
      <c r="E12" s="25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247</v>
      </c>
      <c r="F12" s="26"/>
      <c r="G12" s="23">
        <v>10</v>
      </c>
      <c r="H12" s="27"/>
      <c r="I12" s="23">
        <v>15</v>
      </c>
      <c r="J12" s="23"/>
      <c r="K12" s="23">
        <v>12</v>
      </c>
      <c r="L12" s="23"/>
      <c r="M12" s="23">
        <v>2</v>
      </c>
      <c r="N12" s="23"/>
      <c r="O12" s="23"/>
      <c r="P12" s="23"/>
      <c r="Q12" s="23">
        <v>5</v>
      </c>
      <c r="R12" s="28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44</v>
      </c>
    </row>
    <row r="13" spans="1:18" ht="16.5" customHeight="1" x14ac:dyDescent="0.2">
      <c r="A13" s="4"/>
      <c r="B13" s="29" t="s">
        <v>27</v>
      </c>
      <c r="C13" s="30" t="s">
        <v>28</v>
      </c>
      <c r="D13" s="31">
        <f>STOCK68768492100108116124132140148132156164172180188156164172196204212220228236244252260268276284292300308316324332343463543623703781018[[#This Row],[STOCK]]</f>
        <v>98</v>
      </c>
      <c r="E13" s="32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246</v>
      </c>
      <c r="F13" s="33"/>
      <c r="G13" s="30">
        <v>12</v>
      </c>
      <c r="H13" s="34">
        <v>70</v>
      </c>
      <c r="I13" s="30">
        <v>48</v>
      </c>
      <c r="J13" s="30">
        <v>145</v>
      </c>
      <c r="K13" s="30">
        <v>40</v>
      </c>
      <c r="L13" s="30">
        <v>57</v>
      </c>
      <c r="M13" s="30">
        <v>9</v>
      </c>
      <c r="N13" s="30"/>
      <c r="O13" s="30"/>
      <c r="P13" s="30"/>
      <c r="Q13" s="30">
        <v>15</v>
      </c>
      <c r="R13" s="35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124</v>
      </c>
    </row>
    <row r="14" spans="1:18" ht="15.75" customHeight="1" x14ac:dyDescent="0.2">
      <c r="A14" s="4"/>
      <c r="B14" s="22" t="s">
        <v>29</v>
      </c>
      <c r="C14" s="23" t="s">
        <v>30</v>
      </c>
      <c r="D14" s="24">
        <f>STOCK68768492100108116124132140148132156164172180188156164172196204212220228236244252260268276284292300308316324332343463543623703781018[[#This Row],[STOCK]]</f>
        <v>73</v>
      </c>
      <c r="E14" s="25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84</v>
      </c>
      <c r="F14" s="26"/>
      <c r="G14" s="23">
        <v>7</v>
      </c>
      <c r="H14" s="27"/>
      <c r="I14" s="23">
        <v>21</v>
      </c>
      <c r="J14" s="23"/>
      <c r="K14" s="23">
        <v>22</v>
      </c>
      <c r="L14" s="23"/>
      <c r="M14" s="23">
        <v>5</v>
      </c>
      <c r="N14" s="23"/>
      <c r="O14" s="23"/>
      <c r="P14" s="23">
        <v>69</v>
      </c>
      <c r="Q14" s="23">
        <v>3</v>
      </c>
      <c r="R14" s="28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58</v>
      </c>
    </row>
    <row r="15" spans="1:18" ht="15.75" customHeight="1" x14ac:dyDescent="0.2">
      <c r="A15" s="4"/>
      <c r="B15" s="29" t="s">
        <v>31</v>
      </c>
      <c r="C15" s="30" t="s">
        <v>32</v>
      </c>
      <c r="D15" s="31">
        <f>STOCK68768492100108116124132140148132156164172180188156164172196204212220228236244252260268276284292300308316324332343463543623703781018[[#This Row],[STOCK]]</f>
        <v>150</v>
      </c>
      <c r="E15" s="32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127</v>
      </c>
      <c r="F15" s="33"/>
      <c r="G15" s="30">
        <v>1</v>
      </c>
      <c r="H15" s="34"/>
      <c r="I15" s="30">
        <v>6</v>
      </c>
      <c r="J15" s="30"/>
      <c r="K15" s="30">
        <v>15</v>
      </c>
      <c r="L15" s="30"/>
      <c r="M15" s="30"/>
      <c r="N15" s="30"/>
      <c r="O15" s="30"/>
      <c r="P15" s="30"/>
      <c r="Q15" s="30">
        <v>1</v>
      </c>
      <c r="R15" s="35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23</v>
      </c>
    </row>
    <row r="16" spans="1:18" ht="16.5" customHeight="1" x14ac:dyDescent="0.2">
      <c r="A16" s="4"/>
      <c r="B16" s="22" t="s">
        <v>33</v>
      </c>
      <c r="C16" s="23" t="s">
        <v>34</v>
      </c>
      <c r="D16" s="24">
        <f>STOCK68768492100108116124132140148132156164172180188156164172196204212220228236244252260268276284292300308316324332343463543623703781018[[#This Row],[STOCK]]</f>
        <v>0</v>
      </c>
      <c r="E16" s="25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34</v>
      </c>
      <c r="F16" s="26"/>
      <c r="G16" s="23"/>
      <c r="H16" s="27">
        <v>10</v>
      </c>
      <c r="I16" s="23">
        <v>10</v>
      </c>
      <c r="J16" s="23">
        <v>5</v>
      </c>
      <c r="K16" s="23">
        <v>5</v>
      </c>
      <c r="L16" s="23">
        <v>5</v>
      </c>
      <c r="M16" s="23">
        <v>5</v>
      </c>
      <c r="N16" s="23"/>
      <c r="O16" s="23"/>
      <c r="P16" s="23">
        <v>36</v>
      </c>
      <c r="Q16" s="23">
        <v>2</v>
      </c>
      <c r="R16" s="28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22</v>
      </c>
    </row>
    <row r="17" spans="1:22" ht="15.75" customHeight="1" x14ac:dyDescent="0.2">
      <c r="A17" s="4"/>
      <c r="B17" s="22" t="s">
        <v>35</v>
      </c>
      <c r="C17" s="23" t="s">
        <v>36</v>
      </c>
      <c r="D17" s="24">
        <f>STOCK68768492100108116124132140148132156164172180188156164172196204212220228236244252260268276284292300308316324332343463543623703781018[[#This Row],[STOCK]]</f>
        <v>367</v>
      </c>
      <c r="E17" s="25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403</v>
      </c>
      <c r="F17" s="26"/>
      <c r="G17" s="23">
        <v>1</v>
      </c>
      <c r="H17" s="27"/>
      <c r="I17" s="23">
        <v>5</v>
      </c>
      <c r="J17" s="23">
        <v>60</v>
      </c>
      <c r="K17" s="23">
        <v>17</v>
      </c>
      <c r="L17" s="23"/>
      <c r="M17" s="23"/>
      <c r="N17" s="23"/>
      <c r="O17" s="23"/>
      <c r="P17" s="23"/>
      <c r="Q17" s="23">
        <v>1</v>
      </c>
      <c r="R17" s="28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24</v>
      </c>
    </row>
    <row r="18" spans="1:22" ht="15.75" customHeight="1" x14ac:dyDescent="0.2">
      <c r="A18" s="36"/>
      <c r="B18" s="29" t="s">
        <v>37</v>
      </c>
      <c r="C18" s="30" t="s">
        <v>38</v>
      </c>
      <c r="D18" s="31">
        <f>STOCK68768492100108116124132140148132156164172180188156164172196204212220228236244252260268276284292300308316324332343463543623703781018[[#This Row],[STOCK]]</f>
        <v>131</v>
      </c>
      <c r="E18" s="32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149</v>
      </c>
      <c r="F18" s="33"/>
      <c r="G18" s="30">
        <v>1</v>
      </c>
      <c r="H18" s="34"/>
      <c r="I18" s="30">
        <v>5</v>
      </c>
      <c r="J18" s="30">
        <v>50</v>
      </c>
      <c r="K18" s="30">
        <v>25</v>
      </c>
      <c r="L18" s="30"/>
      <c r="M18" s="30"/>
      <c r="N18" s="30"/>
      <c r="O18" s="30"/>
      <c r="P18" s="30"/>
      <c r="Q18" s="30">
        <v>1</v>
      </c>
      <c r="R18" s="35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32</v>
      </c>
    </row>
    <row r="19" spans="1:22" ht="15.75" customHeight="1" x14ac:dyDescent="0.2">
      <c r="A19" s="4" t="s">
        <v>39</v>
      </c>
      <c r="B19" s="22" t="s">
        <v>40</v>
      </c>
      <c r="C19" s="23" t="s">
        <v>41</v>
      </c>
      <c r="D19" s="24">
        <f>STOCK68768492100108116124132140148132156164172180188156164172196204212220228236244252260268276284292300308316324332343463543623703781018[[#This Row],[STOCK]]</f>
        <v>219</v>
      </c>
      <c r="E19" s="25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182</v>
      </c>
      <c r="F19" s="26"/>
      <c r="G19" s="23">
        <v>8</v>
      </c>
      <c r="H19" s="27"/>
      <c r="I19" s="23">
        <v>10</v>
      </c>
      <c r="J19" s="23"/>
      <c r="K19" s="23">
        <v>14</v>
      </c>
      <c r="L19" s="23"/>
      <c r="M19" s="23"/>
      <c r="N19" s="23"/>
      <c r="O19" s="23"/>
      <c r="P19" s="23"/>
      <c r="Q19" s="23">
        <v>5</v>
      </c>
      <c r="R19" s="28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37</v>
      </c>
    </row>
    <row r="20" spans="1:22" ht="15" customHeight="1" x14ac:dyDescent="0.2">
      <c r="A20" s="4"/>
      <c r="B20" s="22" t="s">
        <v>42</v>
      </c>
      <c r="C20" s="23" t="s">
        <v>43</v>
      </c>
      <c r="D20" s="24">
        <f>STOCK68768492100108116124132140148132156164172180188156164172196204212220228236244252260268276284292300308316324332343463543623703781018[[#This Row],[STOCK]]</f>
        <v>196</v>
      </c>
      <c r="E20" s="25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219</v>
      </c>
      <c r="F20" s="26"/>
      <c r="G20" s="23">
        <v>17</v>
      </c>
      <c r="H20" s="27">
        <v>66</v>
      </c>
      <c r="I20" s="23">
        <v>20</v>
      </c>
      <c r="J20" s="23">
        <v>50</v>
      </c>
      <c r="K20" s="23">
        <v>44</v>
      </c>
      <c r="L20" s="23"/>
      <c r="M20" s="23">
        <v>7</v>
      </c>
      <c r="N20" s="23"/>
      <c r="O20" s="23"/>
      <c r="P20" s="23"/>
      <c r="Q20" s="23">
        <v>5</v>
      </c>
      <c r="R20" s="28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93</v>
      </c>
      <c r="S20" s="73"/>
      <c r="T20" s="73"/>
      <c r="U20" s="73"/>
      <c r="V20" s="73"/>
    </row>
    <row r="21" spans="1:22" ht="15.75" customHeight="1" x14ac:dyDescent="0.2">
      <c r="A21" s="4"/>
      <c r="B21" s="29" t="s">
        <v>44</v>
      </c>
      <c r="C21" s="30" t="s">
        <v>45</v>
      </c>
      <c r="D21" s="31">
        <f>STOCK68768492100108116124132140148132156164172180188156164172196204212220228236244252260268276284292300308316324332343463543623703781018[[#This Row],[STOCK]]</f>
        <v>97</v>
      </c>
      <c r="E21" s="32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85</v>
      </c>
      <c r="F21" s="33"/>
      <c r="G21" s="30"/>
      <c r="H21" s="34"/>
      <c r="I21" s="30"/>
      <c r="J21" s="30"/>
      <c r="K21" s="30">
        <v>12</v>
      </c>
      <c r="L21" s="30"/>
      <c r="M21" s="30"/>
      <c r="N21" s="30"/>
      <c r="O21" s="30"/>
      <c r="P21" s="30"/>
      <c r="Q21" s="30"/>
      <c r="R21" s="35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12</v>
      </c>
    </row>
    <row r="22" spans="1:22" ht="15.75" customHeight="1" x14ac:dyDescent="0.2">
      <c r="A22" s="4"/>
      <c r="B22" s="22" t="s">
        <v>46</v>
      </c>
      <c r="C22" s="23" t="s">
        <v>47</v>
      </c>
      <c r="D22" s="24">
        <f>STOCK68768492100108116124132140148132156164172180188156164172196204212220228236244252260268276284292300308316324332343463543623703781018[[#This Row],[STOCK]]</f>
        <v>81</v>
      </c>
      <c r="E22" s="25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105</v>
      </c>
      <c r="F22" s="26"/>
      <c r="G22" s="23">
        <v>1</v>
      </c>
      <c r="H22" s="27">
        <v>6</v>
      </c>
      <c r="I22" s="23">
        <v>6</v>
      </c>
      <c r="J22" s="23"/>
      <c r="K22" s="23">
        <v>18</v>
      </c>
      <c r="L22" s="23">
        <v>44</v>
      </c>
      <c r="M22" s="23"/>
      <c r="N22" s="23"/>
      <c r="O22" s="23"/>
      <c r="P22" s="23"/>
      <c r="Q22" s="23">
        <v>1</v>
      </c>
      <c r="R22" s="28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26</v>
      </c>
    </row>
    <row r="23" spans="1:22" ht="15.75" customHeight="1" x14ac:dyDescent="0.2">
      <c r="A23" s="4"/>
      <c r="B23" s="29" t="s">
        <v>48</v>
      </c>
      <c r="C23" s="30" t="s">
        <v>49</v>
      </c>
      <c r="D23" s="31">
        <f>STOCK68768492100108116124132140148132156164172180188156164172196204212220228236244252260268276284292300308316324332343463543623703781018[[#This Row],[STOCK]]</f>
        <v>116</v>
      </c>
      <c r="E23" s="32">
        <f>STOCK6876849210010811612413214014813215616417218018815616417219620421222022823624425226026827628429230030831632433234346354362370378101826[[#This Row],[INVENTARIO INICIAL]]+STOCK6876849210010811612413214014813215616417218018815616417219620421222022823624425226026827628429230030831632433234346354362370378101826[[#This Row],[INGRESO LUNES]]-STOCK6876849210010811612413214014813215616417218018815616417219620421222022823624425226026827628429230030831632433234346354362370378101826[[#This Row],[VENTA    LUNES]]+STOCK6876849210010811612413214014813215616417218018815616417219620421222022823624425226026827628429230030831632433234346354362370378101826[[#This Row],[INGRESO MARTES]]-STOCK6876849210010811612413214014813215616417218018815616417219620421222022823624425226026827628429230030831632433234346354362370378101826[[#This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Row],[INGRESO MIERCOLES]]-STOCK6876849210010811612413214014813215616417218018815616417219620421222022823624425226026827628429230030831632433234346354362370378101826[[#This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Row],[INGRESO JUEVES]]-STOCK6876849210010811612413214014813215616417218018815616417219620421222022823624425226026827628429230030831632433234346354362370378101826[[#This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Row],[INGRESO VIERNES]]-STOCK6876849210010811612413214014813215616417218018815616417219620421222022823624425226026827628429230030831632433234346354362370378101826[[#This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 INGRESO SABADO]]-STOCK6876849210010811612413214014813215616417218018815616417219620421222022823624425226026827628429230030831632433234346354362370378101826[[#This Row],[VENTA SABADO]]</f>
        <v>97</v>
      </c>
      <c r="F23" s="33"/>
      <c r="G23" s="30">
        <v>3</v>
      </c>
      <c r="H23" s="34"/>
      <c r="I23" s="30"/>
      <c r="J23" s="30"/>
      <c r="K23" s="30">
        <v>16</v>
      </c>
      <c r="L23" s="30"/>
      <c r="M23" s="30"/>
      <c r="N23" s="30"/>
      <c r="O23" s="30"/>
      <c r="P23" s="30"/>
      <c r="Q23" s="30"/>
      <c r="R23" s="35">
        <f>STOCK6876849210010811612413214014813215616417218018815616417219620421222022823624425226026827628429230030831632433234346354362370378101826[[#This Row],[VENTA    LUNES]]++STOCK6876849210010811612413214014813215616417218018815616417219620421222022823624425226026827628429230030831632433234346354362370378101826[[#This Row],[VENTA MARTES]]+STOCK6876849210010811612413214014813215616417218018815616417219620421222022823624425226026827628429230030831632433234346354362370378101826[[#This Row],[VENTA MIERCOLES]]+STOCK6876849210010811612413214014813215616417218018815616417219620421222022823624425226026827628429230030831632433234346354362370378101826[[#This Row],[VENTA JUEVES]]+STOCK6876849210010811612413214014813215616417218018815616417219620421222022823624425226026827628429230030831632433234346354362370378101826[[#This Row],[VENTA VIERNES]]+STOCK6876849210010811612413214014813215616417218018815616417219620421222022823624425226026827628429230030831632433234346354362370378101826[[#This Row],[VENTA SABADO]]</f>
        <v>19</v>
      </c>
    </row>
    <row r="25" spans="1:22" ht="38.25" customHeight="1" x14ac:dyDescent="0.2">
      <c r="B25" s="16" t="s">
        <v>50</v>
      </c>
      <c r="C25" s="17" t="s">
        <v>5</v>
      </c>
      <c r="D25" s="18" t="s">
        <v>6</v>
      </c>
      <c r="E25" s="37" t="s">
        <v>7</v>
      </c>
      <c r="F25" s="38" t="s">
        <v>8</v>
      </c>
      <c r="G25" s="17" t="s">
        <v>51</v>
      </c>
      <c r="H25" s="18" t="s">
        <v>10</v>
      </c>
      <c r="I25" s="38" t="s">
        <v>11</v>
      </c>
      <c r="J25" s="17" t="s">
        <v>12</v>
      </c>
      <c r="K25" s="18" t="s">
        <v>13</v>
      </c>
      <c r="L25" s="17" t="s">
        <v>14</v>
      </c>
      <c r="M25" s="17" t="s">
        <v>15</v>
      </c>
      <c r="N25" s="18" t="s">
        <v>16</v>
      </c>
      <c r="O25" s="18" t="s">
        <v>17</v>
      </c>
      <c r="P25" s="17" t="s">
        <v>18</v>
      </c>
      <c r="Q25" s="18" t="s">
        <v>19</v>
      </c>
      <c r="R25" s="17" t="s">
        <v>20</v>
      </c>
    </row>
    <row r="26" spans="1:22" x14ac:dyDescent="0.2">
      <c r="B26" s="22" t="s">
        <v>52</v>
      </c>
      <c r="C26" s="23" t="s">
        <v>53</v>
      </c>
      <c r="D26" s="24">
        <f>Tabla131119273745536169778593101109117125133141149133157165173181189157165173197205213221229237245253261269277285293301309317325333353473553633713791119[[#This Row],[STOCK]]</f>
        <v>205</v>
      </c>
      <c r="E26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190</v>
      </c>
      <c r="F26" s="26"/>
      <c r="G26" s="23">
        <v>1</v>
      </c>
      <c r="H26" s="27"/>
      <c r="I26" s="23">
        <v>2</v>
      </c>
      <c r="J26" s="23"/>
      <c r="K26" s="23">
        <v>12</v>
      </c>
      <c r="L26" s="23"/>
      <c r="M26" s="23"/>
      <c r="N26" s="23"/>
      <c r="O26" s="23"/>
      <c r="P26" s="23"/>
      <c r="Q26" s="23"/>
      <c r="R26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15</v>
      </c>
    </row>
    <row r="27" spans="1:22" x14ac:dyDescent="0.2">
      <c r="B27" s="29" t="s">
        <v>54</v>
      </c>
      <c r="C27" s="30" t="s">
        <v>55</v>
      </c>
      <c r="D27" s="31">
        <f>Tabla131119273745536169778593101109117125133141149133157165173181189157165173197205213221229237245253261269277285293301309317325333353473553633713791119[[#This Row],[STOCK]]</f>
        <v>163</v>
      </c>
      <c r="E27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135</v>
      </c>
      <c r="F27" s="33"/>
      <c r="G27" s="30">
        <v>1</v>
      </c>
      <c r="H27" s="34"/>
      <c r="I27" s="30">
        <v>3</v>
      </c>
      <c r="J27" s="30"/>
      <c r="K27" s="30">
        <v>24</v>
      </c>
      <c r="L27" s="30"/>
      <c r="M27" s="30"/>
      <c r="N27" s="30"/>
      <c r="O27" s="30"/>
      <c r="P27" s="30"/>
      <c r="Q27" s="30"/>
      <c r="R27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28</v>
      </c>
    </row>
    <row r="28" spans="1:22" ht="13.5" customHeight="1" x14ac:dyDescent="0.2">
      <c r="B28" s="22" t="s">
        <v>56</v>
      </c>
      <c r="C28" s="23" t="s">
        <v>57</v>
      </c>
      <c r="D28" s="24">
        <f>Tabla131119273745536169778593101109117125133141149133157165173181189157165173197205213221229237245253261269277285293301309317325333353473553633713791119[[#This Row],[STOCK]]</f>
        <v>113</v>
      </c>
      <c r="E28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133</v>
      </c>
      <c r="F28" s="26"/>
      <c r="G28" s="23">
        <v>4</v>
      </c>
      <c r="H28" s="27">
        <v>69</v>
      </c>
      <c r="I28" s="23">
        <v>11</v>
      </c>
      <c r="J28" s="23"/>
      <c r="K28" s="23">
        <v>25</v>
      </c>
      <c r="L28" s="23"/>
      <c r="M28" s="23">
        <v>6</v>
      </c>
      <c r="N28" s="23"/>
      <c r="O28" s="23"/>
      <c r="P28" s="23"/>
      <c r="Q28" s="23">
        <v>3</v>
      </c>
      <c r="R28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49</v>
      </c>
    </row>
    <row r="29" spans="1:22" x14ac:dyDescent="0.2">
      <c r="B29" s="29" t="s">
        <v>58</v>
      </c>
      <c r="C29" s="30" t="s">
        <v>59</v>
      </c>
      <c r="D29" s="31">
        <f>Tabla131119273745536169778593101109117125133141149133157165173181189157165173197205213221229237245253261269277285293301309317325333353473553633713791119[[#This Row],[STOCK]]</f>
        <v>24</v>
      </c>
      <c r="E29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16</v>
      </c>
      <c r="F29" s="33"/>
      <c r="G29" s="30"/>
      <c r="H29" s="34">
        <v>35</v>
      </c>
      <c r="I29" s="30">
        <v>17</v>
      </c>
      <c r="J29" s="30"/>
      <c r="K29" s="30">
        <v>20</v>
      </c>
      <c r="L29" s="30">
        <v>1</v>
      </c>
      <c r="M29" s="30">
        <v>7</v>
      </c>
      <c r="N29" s="30"/>
      <c r="O29" s="30"/>
      <c r="P29" s="30"/>
      <c r="Q29" s="30"/>
      <c r="R29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44</v>
      </c>
    </row>
    <row r="30" spans="1:22" x14ac:dyDescent="0.2">
      <c r="B30" s="22" t="s">
        <v>60</v>
      </c>
      <c r="C30" s="23" t="s">
        <v>61</v>
      </c>
      <c r="D30" s="24">
        <f>Tabla131119273745536169778593101109117125133141149133157165173181189157165173197205213221229237245253261269277285293301309317325333353473553633713791119[[#This Row],[STOCK]]</f>
        <v>17</v>
      </c>
      <c r="E30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17</v>
      </c>
      <c r="F30" s="26"/>
      <c r="G30" s="23"/>
      <c r="H30" s="27"/>
      <c r="I30" s="23"/>
      <c r="J30" s="23"/>
      <c r="K30" s="23"/>
      <c r="L30" s="23"/>
      <c r="M30" s="23"/>
      <c r="N30" s="23"/>
      <c r="O30" s="23"/>
      <c r="P30" s="23"/>
      <c r="Q30" s="23"/>
      <c r="R30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0</v>
      </c>
    </row>
    <row r="31" spans="1:22" x14ac:dyDescent="0.2">
      <c r="B31" s="29" t="s">
        <v>62</v>
      </c>
      <c r="C31" s="30" t="s">
        <v>63</v>
      </c>
      <c r="D31" s="31">
        <f>Tabla131119273745536169778593101109117125133141149133157165173181189157165173197205213221229237245253261269277285293301309317325333353473553633713791119[[#This Row],[STOCK]]</f>
        <v>391</v>
      </c>
      <c r="E31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309</v>
      </c>
      <c r="F31" s="33"/>
      <c r="G31" s="30">
        <v>12</v>
      </c>
      <c r="H31" s="34"/>
      <c r="I31" s="30">
        <v>38</v>
      </c>
      <c r="J31" s="30"/>
      <c r="K31" s="30">
        <v>30</v>
      </c>
      <c r="L31" s="30"/>
      <c r="M31" s="30"/>
      <c r="N31" s="30"/>
      <c r="O31" s="30"/>
      <c r="P31" s="30"/>
      <c r="Q31" s="30">
        <v>2</v>
      </c>
      <c r="R31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82</v>
      </c>
    </row>
    <row r="32" spans="1:22" x14ac:dyDescent="0.2">
      <c r="B32" s="22" t="s">
        <v>64</v>
      </c>
      <c r="C32" s="23" t="s">
        <v>65</v>
      </c>
      <c r="D32" s="24">
        <f>Tabla131119273745536169778593101109117125133141149133157165173181189157165173197205213221229237245253261269277285293301309317325333353473553633713791119[[#This Row],[STOCK]]</f>
        <v>109</v>
      </c>
      <c r="E32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49</v>
      </c>
      <c r="F32" s="26"/>
      <c r="G32" s="23">
        <v>13</v>
      </c>
      <c r="H32" s="27"/>
      <c r="I32" s="23">
        <v>60</v>
      </c>
      <c r="J32" s="23">
        <v>36</v>
      </c>
      <c r="K32" s="23">
        <v>31</v>
      </c>
      <c r="L32" s="23">
        <v>36</v>
      </c>
      <c r="M32" s="23">
        <v>8</v>
      </c>
      <c r="N32" s="23"/>
      <c r="O32" s="23"/>
      <c r="P32" s="23"/>
      <c r="Q32" s="23">
        <v>20</v>
      </c>
      <c r="R32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132</v>
      </c>
    </row>
    <row r="33" spans="2:18" x14ac:dyDescent="0.2">
      <c r="B33" s="29" t="s">
        <v>66</v>
      </c>
      <c r="C33" s="30" t="s">
        <v>67</v>
      </c>
      <c r="D33" s="31">
        <f>Tabla131119273745536169778593101109117125133141149133157165173181189157165173197205213221229237245253261269277285293301309317325333353473553633713791119[[#This Row],[STOCK]]</f>
        <v>137</v>
      </c>
      <c r="E33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342</v>
      </c>
      <c r="F33" s="33">
        <v>118</v>
      </c>
      <c r="G33" s="30">
        <v>5</v>
      </c>
      <c r="H33" s="34">
        <v>65</v>
      </c>
      <c r="I33" s="30">
        <v>11</v>
      </c>
      <c r="J33" s="30"/>
      <c r="K33" s="30">
        <v>26</v>
      </c>
      <c r="L33" s="30">
        <v>65</v>
      </c>
      <c r="M33" s="30"/>
      <c r="N33" s="30"/>
      <c r="O33" s="30"/>
      <c r="P33" s="30"/>
      <c r="Q33" s="30">
        <v>1</v>
      </c>
      <c r="R33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43</v>
      </c>
    </row>
    <row r="34" spans="2:18" x14ac:dyDescent="0.2">
      <c r="B34" s="22" t="s">
        <v>68</v>
      </c>
      <c r="C34" s="23" t="s">
        <v>69</v>
      </c>
      <c r="D34" s="24">
        <f>Tabla131119273745536169778593101109117125133141149133157165173181189157165173197205213221229237245253261269277285293301309317325333353473553633713791119[[#This Row],[STOCK]]</f>
        <v>0</v>
      </c>
      <c r="E34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0</v>
      </c>
      <c r="F34" s="26"/>
      <c r="G34" s="23"/>
      <c r="H34" s="27"/>
      <c r="I34" s="23"/>
      <c r="J34" s="23"/>
      <c r="K34" s="23"/>
      <c r="L34" s="23"/>
      <c r="M34" s="23"/>
      <c r="N34" s="23"/>
      <c r="O34" s="23"/>
      <c r="P34" s="23"/>
      <c r="Q34" s="23"/>
      <c r="R34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0</v>
      </c>
    </row>
    <row r="35" spans="2:18" x14ac:dyDescent="0.2">
      <c r="B35" s="29" t="s">
        <v>70</v>
      </c>
      <c r="C35" s="30" t="s">
        <v>71</v>
      </c>
      <c r="D35" s="31">
        <f>Tabla131119273745536169778593101109117125133141149133157165173181189157165173197205213221229237245253261269277285293301309317325333353473553633713791119[[#This Row],[STOCK]]</f>
        <v>110</v>
      </c>
      <c r="E35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56</v>
      </c>
      <c r="F35" s="33"/>
      <c r="G35" s="30">
        <v>14</v>
      </c>
      <c r="H35" s="34"/>
      <c r="I35" s="30">
        <v>26</v>
      </c>
      <c r="J35" s="30"/>
      <c r="K35" s="30">
        <v>42</v>
      </c>
      <c r="L35" s="30">
        <v>50</v>
      </c>
      <c r="M35" s="30">
        <v>20</v>
      </c>
      <c r="N35" s="30"/>
      <c r="O35" s="30"/>
      <c r="P35" s="30"/>
      <c r="Q35" s="30">
        <v>2</v>
      </c>
      <c r="R35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104</v>
      </c>
    </row>
    <row r="36" spans="2:18" x14ac:dyDescent="0.2">
      <c r="B36" s="22" t="s">
        <v>72</v>
      </c>
      <c r="C36" s="23" t="s">
        <v>73</v>
      </c>
      <c r="D36" s="24">
        <f>Tabla131119273745536169778593101109117125133141149133157165173181189157165173197205213221229237245253261269277285293301309317325333353473553633713791119[[#This Row],[STOCK]]</f>
        <v>59</v>
      </c>
      <c r="E36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101</v>
      </c>
      <c r="F36" s="26"/>
      <c r="G36" s="23">
        <v>34</v>
      </c>
      <c r="H36" s="27">
        <v>92</v>
      </c>
      <c r="I36" s="23">
        <v>52</v>
      </c>
      <c r="J36" s="23">
        <v>35</v>
      </c>
      <c r="K36" s="23">
        <v>68</v>
      </c>
      <c r="L36" s="23">
        <v>37</v>
      </c>
      <c r="M36" s="23">
        <v>8</v>
      </c>
      <c r="N36" s="23"/>
      <c r="O36" s="23"/>
      <c r="P36" s="23">
        <v>50</v>
      </c>
      <c r="Q36" s="23">
        <v>10</v>
      </c>
      <c r="R36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172</v>
      </c>
    </row>
    <row r="37" spans="2:18" ht="12.75" customHeight="1" x14ac:dyDescent="0.2">
      <c r="B37" s="29" t="s">
        <v>74</v>
      </c>
      <c r="C37" s="30" t="s">
        <v>75</v>
      </c>
      <c r="D37" s="31">
        <f>Tabla131119273745536169778593101109117125133141149133157165173181189157165173197205213221229237245253261269277285293301309317325333353473553633713791119[[#This Row],[STOCK]]</f>
        <v>125</v>
      </c>
      <c r="E37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78</v>
      </c>
      <c r="F37" s="33"/>
      <c r="G37" s="30">
        <v>2</v>
      </c>
      <c r="H37" s="34"/>
      <c r="I37" s="30">
        <v>9</v>
      </c>
      <c r="J37" s="30"/>
      <c r="K37" s="30">
        <v>27</v>
      </c>
      <c r="L37" s="30"/>
      <c r="M37" s="30">
        <v>2</v>
      </c>
      <c r="N37" s="30"/>
      <c r="O37" s="30"/>
      <c r="P37" s="30"/>
      <c r="Q37" s="30">
        <v>7</v>
      </c>
      <c r="R37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47</v>
      </c>
    </row>
    <row r="38" spans="2:18" x14ac:dyDescent="0.2">
      <c r="B38" s="22" t="s">
        <v>76</v>
      </c>
      <c r="C38" s="23" t="s">
        <v>77</v>
      </c>
      <c r="D38" s="24">
        <f>Tabla131119273745536169778593101109117125133141149133157165173181189157165173197205213221229237245253261269277285293301309317325333353473553633713791119[[#This Row],[STOCK]]</f>
        <v>98</v>
      </c>
      <c r="E38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75</v>
      </c>
      <c r="F38" s="26"/>
      <c r="G38" s="23">
        <v>2</v>
      </c>
      <c r="H38" s="27">
        <v>7</v>
      </c>
      <c r="I38" s="23">
        <v>7</v>
      </c>
      <c r="J38" s="23"/>
      <c r="K38" s="23">
        <v>19</v>
      </c>
      <c r="L38" s="23"/>
      <c r="M38" s="23"/>
      <c r="N38" s="23"/>
      <c r="O38" s="23"/>
      <c r="P38" s="23"/>
      <c r="Q38" s="23">
        <v>2</v>
      </c>
      <c r="R38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30</v>
      </c>
    </row>
    <row r="39" spans="2:18" x14ac:dyDescent="0.2">
      <c r="B39" s="29" t="s">
        <v>78</v>
      </c>
      <c r="C39" s="30" t="s">
        <v>79</v>
      </c>
      <c r="D39" s="31">
        <f>Tabla131119273745536169778593101109117125133141149133157165173181189157165173197205213221229237245253261269277285293301309317325333353473553633713791119[[#This Row],[STOCK]]</f>
        <v>2</v>
      </c>
      <c r="E39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0</v>
      </c>
      <c r="F39" s="33">
        <v>30</v>
      </c>
      <c r="G39" s="30">
        <v>1</v>
      </c>
      <c r="H39" s="34">
        <v>9</v>
      </c>
      <c r="I39" s="30">
        <v>16</v>
      </c>
      <c r="J39" s="30">
        <v>5</v>
      </c>
      <c r="K39" s="30">
        <v>27</v>
      </c>
      <c r="L39" s="30"/>
      <c r="M39" s="30">
        <v>2</v>
      </c>
      <c r="N39" s="30"/>
      <c r="O39" s="30"/>
      <c r="P39" s="30"/>
      <c r="Q39" s="30"/>
      <c r="R39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46</v>
      </c>
    </row>
    <row r="40" spans="2:18" x14ac:dyDescent="0.2">
      <c r="B40" s="22" t="s">
        <v>80</v>
      </c>
      <c r="C40" s="23" t="s">
        <v>81</v>
      </c>
      <c r="D40" s="24">
        <f>Tabla131119273745536169778593101109117125133141149133157165173181189157165173197205213221229237245253261269277285293301309317325333353473553633713791119[[#This Row],[STOCK]]</f>
        <v>68</v>
      </c>
      <c r="E40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91</v>
      </c>
      <c r="F40" s="26"/>
      <c r="G40" s="23">
        <v>1</v>
      </c>
      <c r="H40" s="27"/>
      <c r="I40" s="23"/>
      <c r="J40" s="23">
        <v>36</v>
      </c>
      <c r="K40" s="23">
        <v>12</v>
      </c>
      <c r="L40" s="23"/>
      <c r="M40" s="23"/>
      <c r="N40" s="23"/>
      <c r="O40" s="23"/>
      <c r="P40" s="23"/>
      <c r="Q40" s="23"/>
      <c r="R40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13</v>
      </c>
    </row>
    <row r="41" spans="2:18" x14ac:dyDescent="0.2">
      <c r="B41" s="29" t="s">
        <v>82</v>
      </c>
      <c r="C41" s="30" t="s">
        <v>83</v>
      </c>
      <c r="D41" s="31">
        <f>Tabla131119273745536169778593101109117125133141149133157165173181189157165173197205213221229237245253261269277285293301309317325333353473553633713791119[[#This Row],[STOCK]]</f>
        <v>0</v>
      </c>
      <c r="E41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0</v>
      </c>
      <c r="F41" s="33"/>
      <c r="G41" s="30"/>
      <c r="H41" s="34"/>
      <c r="I41" s="30"/>
      <c r="J41" s="30"/>
      <c r="K41" s="30"/>
      <c r="L41" s="30"/>
      <c r="M41" s="30"/>
      <c r="N41" s="30"/>
      <c r="O41" s="30"/>
      <c r="P41" s="30"/>
      <c r="Q41" s="30"/>
      <c r="R41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0</v>
      </c>
    </row>
    <row r="42" spans="2:18" x14ac:dyDescent="0.2">
      <c r="B42" s="22" t="s">
        <v>84</v>
      </c>
      <c r="C42" s="23" t="s">
        <v>85</v>
      </c>
      <c r="D42" s="24">
        <f>Tabla131119273745536169778593101109117125133141149133157165173181189157165173197205213221229237245253261269277285293301309317325333353473553633713791119[[#This Row],[STOCK]]</f>
        <v>74</v>
      </c>
      <c r="E42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72</v>
      </c>
      <c r="F42" s="26"/>
      <c r="G42" s="23"/>
      <c r="H42" s="27"/>
      <c r="I42" s="23"/>
      <c r="J42" s="23"/>
      <c r="K42" s="23">
        <v>2</v>
      </c>
      <c r="L42" s="23"/>
      <c r="M42" s="23"/>
      <c r="N42" s="23"/>
      <c r="O42" s="23"/>
      <c r="P42" s="23"/>
      <c r="Q42" s="23"/>
      <c r="R42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2</v>
      </c>
    </row>
    <row r="43" spans="2:18" x14ac:dyDescent="0.2">
      <c r="B43" s="29" t="s">
        <v>86</v>
      </c>
      <c r="C43" s="30" t="s">
        <v>87</v>
      </c>
      <c r="D43" s="24">
        <f>Tabla131119273745536169778593101109117125133141149133157165173181189157165173197205213221229237245253261269277285293301309317325333353473553633713791119[[#This Row],[STOCK]]</f>
        <v>128</v>
      </c>
      <c r="E43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120</v>
      </c>
      <c r="F43" s="33"/>
      <c r="G43" s="30"/>
      <c r="H43" s="34"/>
      <c r="I43" s="30">
        <v>2</v>
      </c>
      <c r="J43" s="30"/>
      <c r="K43" s="30">
        <v>6</v>
      </c>
      <c r="L43" s="30"/>
      <c r="M43" s="30"/>
      <c r="N43" s="30"/>
      <c r="O43" s="30"/>
      <c r="P43" s="30"/>
      <c r="Q43" s="30"/>
      <c r="R43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8</v>
      </c>
    </row>
    <row r="44" spans="2:18" x14ac:dyDescent="0.2">
      <c r="B44" s="22" t="s">
        <v>88</v>
      </c>
      <c r="C44" s="23" t="s">
        <v>89</v>
      </c>
      <c r="D44" s="24">
        <f>Tabla131119273745536169778593101109117125133141149133157165173181189157165173197205213221229237245253261269277285293301309317325333353473553633713791119[[#This Row],[STOCK]]</f>
        <v>284</v>
      </c>
      <c r="E44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281</v>
      </c>
      <c r="F44" s="26"/>
      <c r="G44" s="23"/>
      <c r="H44" s="27"/>
      <c r="I44" s="23"/>
      <c r="J44" s="23"/>
      <c r="K44" s="23">
        <v>3</v>
      </c>
      <c r="L44" s="23"/>
      <c r="M44" s="23"/>
      <c r="N44" s="23"/>
      <c r="O44" s="23"/>
      <c r="P44" s="23"/>
      <c r="Q44" s="23"/>
      <c r="R44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3</v>
      </c>
    </row>
    <row r="45" spans="2:18" x14ac:dyDescent="0.2">
      <c r="B45" s="29" t="s">
        <v>90</v>
      </c>
      <c r="C45" s="30" t="s">
        <v>91</v>
      </c>
      <c r="D45" s="31">
        <f>Tabla131119273745536169778593101109117125133141149133157165173181189157165173197205213221229237245253261269277285293301309317325333353473553633713791119[[#This Row],[STOCK]]</f>
        <v>188</v>
      </c>
      <c r="E45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172</v>
      </c>
      <c r="F45" s="33"/>
      <c r="G45" s="30"/>
      <c r="H45" s="34"/>
      <c r="I45" s="30">
        <v>13</v>
      </c>
      <c r="J45" s="30"/>
      <c r="K45" s="30">
        <v>3</v>
      </c>
      <c r="L45" s="30"/>
      <c r="M45" s="30"/>
      <c r="N45" s="30"/>
      <c r="O45" s="30"/>
      <c r="P45" s="30"/>
      <c r="Q45" s="30"/>
      <c r="R45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16</v>
      </c>
    </row>
    <row r="46" spans="2:18" x14ac:dyDescent="0.2">
      <c r="B46" s="22" t="s">
        <v>92</v>
      </c>
      <c r="C46" s="23" t="s">
        <v>93</v>
      </c>
      <c r="D46" s="24">
        <f>Tabla131119273745536169778593101109117125133141149133157165173181189157165173197205213221229237245253261269277285293301309317325333353473553633713791119[[#This Row],[STOCK]]</f>
        <v>159</v>
      </c>
      <c r="E46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157</v>
      </c>
      <c r="F46" s="26"/>
      <c r="G46" s="23"/>
      <c r="H46" s="27"/>
      <c r="I46" s="23"/>
      <c r="J46" s="23"/>
      <c r="K46" s="23">
        <v>2</v>
      </c>
      <c r="L46" s="23"/>
      <c r="M46" s="23"/>
      <c r="N46" s="23"/>
      <c r="O46" s="23"/>
      <c r="P46" s="23"/>
      <c r="Q46" s="23"/>
      <c r="R46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2</v>
      </c>
    </row>
    <row r="47" spans="2:18" x14ac:dyDescent="0.2">
      <c r="B47" s="29" t="s">
        <v>94</v>
      </c>
      <c r="C47" s="30" t="s">
        <v>95</v>
      </c>
      <c r="D47" s="31">
        <f>Tabla131119273745536169778593101109117125133141149133157165173181189157165173197205213221229237245253261269277285293301309317325333353473553633713791119[[#This Row],[STOCK]]</f>
        <v>218</v>
      </c>
      <c r="E47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156</v>
      </c>
      <c r="F47" s="33"/>
      <c r="G47" s="30">
        <v>11</v>
      </c>
      <c r="H47" s="34"/>
      <c r="I47" s="30">
        <v>9</v>
      </c>
      <c r="J47" s="30"/>
      <c r="K47" s="30">
        <v>32</v>
      </c>
      <c r="L47" s="30"/>
      <c r="M47" s="30">
        <v>2</v>
      </c>
      <c r="N47" s="30"/>
      <c r="O47" s="30"/>
      <c r="P47" s="30"/>
      <c r="Q47" s="30">
        <v>8</v>
      </c>
      <c r="R47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62</v>
      </c>
    </row>
    <row r="48" spans="2:18" x14ac:dyDescent="0.2">
      <c r="B48" s="22" t="s">
        <v>96</v>
      </c>
      <c r="C48" s="23" t="s">
        <v>97</v>
      </c>
      <c r="D48" s="24">
        <f>Tabla131119273745536169778593101109117125133141149133157165173181189157165173197205213221229237245253261269277285293301309317325333353473553633713791119[[#This Row],[STOCK]]</f>
        <v>175</v>
      </c>
      <c r="E48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166</v>
      </c>
      <c r="F48" s="26"/>
      <c r="G48" s="23">
        <v>12</v>
      </c>
      <c r="H48" s="27"/>
      <c r="I48" s="23">
        <v>11</v>
      </c>
      <c r="J48" s="23"/>
      <c r="K48" s="23">
        <v>32</v>
      </c>
      <c r="L48" s="23">
        <v>50</v>
      </c>
      <c r="M48" s="23">
        <v>2</v>
      </c>
      <c r="N48" s="23"/>
      <c r="O48" s="23"/>
      <c r="P48" s="23"/>
      <c r="Q48" s="23">
        <v>2</v>
      </c>
      <c r="R48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59</v>
      </c>
    </row>
    <row r="49" spans="2:18" x14ac:dyDescent="0.2">
      <c r="B49" s="29" t="s">
        <v>98</v>
      </c>
      <c r="C49" s="30" t="s">
        <v>99</v>
      </c>
      <c r="D49" s="31">
        <f>Tabla131119273745536169778593101109117125133141149133157165173181189157165173197205213221229237245253261269277285293301309317325333353473553633713791119[[#This Row],[STOCK]]</f>
        <v>0</v>
      </c>
      <c r="E49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0</v>
      </c>
      <c r="F49" s="33"/>
      <c r="G49" s="30"/>
      <c r="H49" s="34"/>
      <c r="I49" s="30"/>
      <c r="J49" s="30"/>
      <c r="K49" s="30"/>
      <c r="L49" s="30"/>
      <c r="M49" s="30"/>
      <c r="N49" s="30"/>
      <c r="O49" s="30"/>
      <c r="P49" s="30"/>
      <c r="Q49" s="30"/>
      <c r="R49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0</v>
      </c>
    </row>
    <row r="50" spans="2:18" ht="13.5" customHeight="1" x14ac:dyDescent="0.2">
      <c r="B50" s="22" t="s">
        <v>100</v>
      </c>
      <c r="C50" s="23" t="s">
        <v>101</v>
      </c>
      <c r="D50" s="24">
        <f>Tabla131119273745536169778593101109117125133141149133157165173181189157165173197205213221229237245253261269277285293301309317325333353473553633713791119[[#This Row],[STOCK]]</f>
        <v>47</v>
      </c>
      <c r="E50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43</v>
      </c>
      <c r="F50" s="26"/>
      <c r="G50" s="23">
        <v>3</v>
      </c>
      <c r="H50" s="27"/>
      <c r="I50" s="23"/>
      <c r="J50" s="23"/>
      <c r="K50" s="23">
        <v>1</v>
      </c>
      <c r="L50" s="23"/>
      <c r="M50" s="23"/>
      <c r="N50" s="23"/>
      <c r="O50" s="23"/>
      <c r="P50" s="23"/>
      <c r="Q50" s="23"/>
      <c r="R50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4</v>
      </c>
    </row>
    <row r="51" spans="2:18" x14ac:dyDescent="0.2">
      <c r="B51" s="29" t="s">
        <v>102</v>
      </c>
      <c r="C51" s="30" t="s">
        <v>103</v>
      </c>
      <c r="D51" s="31">
        <f>Tabla131119273745536169778593101109117125133141149133157165173181189157165173197205213221229237245253261269277285293301309317325333353473553633713791119[[#This Row],[STOCK]]</f>
        <v>92</v>
      </c>
      <c r="E51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119</v>
      </c>
      <c r="F51" s="33">
        <v>28</v>
      </c>
      <c r="G51" s="30">
        <v>1</v>
      </c>
      <c r="H51" s="34"/>
      <c r="I51" s="30"/>
      <c r="J51" s="30"/>
      <c r="K51" s="30"/>
      <c r="L51" s="30"/>
      <c r="M51" s="30"/>
      <c r="N51" s="30"/>
      <c r="O51" s="30"/>
      <c r="P51" s="30"/>
      <c r="Q51" s="30"/>
      <c r="R51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1</v>
      </c>
    </row>
    <row r="52" spans="2:18" x14ac:dyDescent="0.2">
      <c r="B52" s="22" t="s">
        <v>104</v>
      </c>
      <c r="C52" s="23" t="s">
        <v>105</v>
      </c>
      <c r="D52" s="24">
        <f>Tabla131119273745536169778593101109117125133141149133157165173181189157165173197205213221229237245253261269277285293301309317325333353473553633713791119[[#This Row],[STOCK]]</f>
        <v>0</v>
      </c>
      <c r="E52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0</v>
      </c>
      <c r="F52" s="26"/>
      <c r="G52" s="23"/>
      <c r="H52" s="27"/>
      <c r="I52" s="23"/>
      <c r="J52" s="23"/>
      <c r="K52" s="23"/>
      <c r="L52" s="23"/>
      <c r="M52" s="23"/>
      <c r="N52" s="23"/>
      <c r="O52" s="23"/>
      <c r="P52" s="23"/>
      <c r="Q52" s="23"/>
      <c r="R52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0</v>
      </c>
    </row>
    <row r="53" spans="2:18" x14ac:dyDescent="0.2">
      <c r="B53" s="29" t="s">
        <v>106</v>
      </c>
      <c r="C53" s="30" t="s">
        <v>107</v>
      </c>
      <c r="D53" s="31">
        <f>Tabla131119273745536169778593101109117125133141149133157165173181189157165173197205213221229237245253261269277285293301309317325333353473553633713791119[[#This Row],[STOCK]]</f>
        <v>34</v>
      </c>
      <c r="E53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31</v>
      </c>
      <c r="F53" s="33"/>
      <c r="G53" s="30"/>
      <c r="H53" s="34"/>
      <c r="I53" s="30"/>
      <c r="J53" s="30"/>
      <c r="K53" s="30">
        <v>3</v>
      </c>
      <c r="L53" s="30"/>
      <c r="M53" s="30"/>
      <c r="N53" s="30"/>
      <c r="O53" s="30"/>
      <c r="P53" s="30"/>
      <c r="Q53" s="30"/>
      <c r="R53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3</v>
      </c>
    </row>
    <row r="54" spans="2:18" x14ac:dyDescent="0.2">
      <c r="B54" s="22" t="s">
        <v>108</v>
      </c>
      <c r="C54" s="23" t="s">
        <v>109</v>
      </c>
      <c r="D54" s="24">
        <f>Tabla131119273745536169778593101109117125133141149133157165173181189157165173197205213221229237245253261269277285293301309317325333353473553633713791119[[#This Row],[STOCK]]</f>
        <v>0</v>
      </c>
      <c r="E54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0</v>
      </c>
      <c r="F54" s="26"/>
      <c r="G54" s="23"/>
      <c r="H54" s="27"/>
      <c r="I54" s="23"/>
      <c r="J54" s="23"/>
      <c r="K54" s="23"/>
      <c r="L54" s="23"/>
      <c r="M54" s="23"/>
      <c r="N54" s="23"/>
      <c r="O54" s="23"/>
      <c r="P54" s="23"/>
      <c r="Q54" s="23"/>
      <c r="R54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0</v>
      </c>
    </row>
    <row r="55" spans="2:18" x14ac:dyDescent="0.2">
      <c r="B55" s="29" t="s">
        <v>110</v>
      </c>
      <c r="C55" s="30" t="s">
        <v>111</v>
      </c>
      <c r="D55" s="31">
        <f>Tabla131119273745536169778593101109117125133141149133157165173181189157165173197205213221229237245253261269277285293301309317325333353473553633713791119[[#This Row],[STOCK]]</f>
        <v>60</v>
      </c>
      <c r="E55" s="32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59</v>
      </c>
      <c r="F55" s="33"/>
      <c r="G55" s="30">
        <v>1</v>
      </c>
      <c r="H55" s="34"/>
      <c r="I55" s="30"/>
      <c r="J55" s="30"/>
      <c r="K55" s="30"/>
      <c r="L55" s="30"/>
      <c r="M55" s="30"/>
      <c r="N55" s="30"/>
      <c r="O55" s="30"/>
      <c r="P55" s="30"/>
      <c r="Q55" s="30"/>
      <c r="R55" s="35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1</v>
      </c>
    </row>
    <row r="56" spans="2:18" x14ac:dyDescent="0.2">
      <c r="B56" s="22" t="s">
        <v>112</v>
      </c>
      <c r="C56" s="23" t="s">
        <v>113</v>
      </c>
      <c r="D56" s="24">
        <f>Tabla131119273745536169778593101109117125133141149133157165173181189157165173197205213221229237245253261269277285293301309317325333353473553633713791119[[#This Row],[STOCK]]</f>
        <v>86</v>
      </c>
      <c r="E56" s="25">
        <f>Tabla13111927374553616977859310110911712513314114913315716517318118915716517319720521322122923724525326126927728529330130931732533335347355363371379111927[[#This Row],[INVENTARIO INICIAL]]+Tabla13111927374553616977859310110911712513314114913315716517318118915716517319720521322122923724525326126927728529330130931732533335347355363371379111927[[#This Row],[INGRESO LUNES]]-Tabla13111927374553616977859310110911712513314114913315716517318118915716517319720521322122923724525326126927728529330130931732533335347355363371379111927[[#This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Row],[INGRESO MARTES]]-Tabla13111927374553616977859310110911712513314114913315716517318118915716517319720521322122923724525326126927728529330130931732533335347355363371379111927[[#This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Row],[INGRESO MIERCOLES]]-Tabla13111927374553616977859310110911712513314114913315716517318118915716517319720521322122923724525326126927728529330130931732533335347355363371379111927[[#This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Row],[INGRESO JUEVES]]-Tabla13111927374553616977859310110911712513314114913315716517318118915716517319720521322122923724525326126927728529330130931732533335347355363371379111927[[#This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Row],[INGRESO VIERNES]]-Tabla13111927374553616977859310110911712513314114913315716517318118915716517319720521322122923724525326126927728529330130931732533335347355363371379111927[[#This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 INGRESO SABADO]]-Tabla13111927374553616977859310110911712513314114913315716517318118915716517319720521322122923724525326126927728529330130931732533335347355363371379111927[[#This Row],[VENTA SABADO]]</f>
        <v>86</v>
      </c>
      <c r="F56" s="26"/>
      <c r="G56" s="23"/>
      <c r="H56" s="27"/>
      <c r="I56" s="23"/>
      <c r="J56" s="23"/>
      <c r="K56" s="23"/>
      <c r="L56" s="23"/>
      <c r="M56" s="23"/>
      <c r="N56" s="23"/>
      <c r="O56" s="23"/>
      <c r="P56" s="23"/>
      <c r="Q56" s="23"/>
      <c r="R56" s="28">
        <f>Tabla13111927374553616977859310110911712513314114913315716517318118915716517319720521322122923724525326126927728529330130931732533335347355363371379111927[[#This Row],[VENTA LUNES]]+Tabla13111927374553616977859310110911712513314114913315716517318118915716517319720521322122923724525326126927728529330130931732533335347355363371379111927[[#This Row],[VENTA MARTES]]+Tabla13111927374553616977859310110911712513314114913315716517318118915716517319720521322122923724525326126927728529330130931732533335347355363371379111927[[#This Row],[VENTA MIERCOLES]]+Tabla13111927374553616977859310110911712513314114913315716517318118915716517319720521322122923724525326126927728529330130931732533335347355363371379111927[[#This Row],[VENTA JUEVES]]+Tabla13111927374553616977859310110911712513314114913315716517318118915716517319720521322122923724525326126927728529330130931732533335347355363371379111927[[#This Row],[VENTA VIERNES]]+Tabla13111927374553616977859310110911712513314114913315716517318118915716517319720521322122923724525326126927728529330130931732533335347355363371379111927[[#This Row],[VENTA SABADO]]</f>
        <v>0</v>
      </c>
    </row>
    <row r="58" spans="2:18" ht="38.25" x14ac:dyDescent="0.2">
      <c r="B58" s="17" t="s">
        <v>114</v>
      </c>
      <c r="C58" s="17" t="s">
        <v>5</v>
      </c>
      <c r="D58" s="17" t="s">
        <v>6</v>
      </c>
      <c r="E58" s="17" t="s">
        <v>7</v>
      </c>
      <c r="F58" s="17" t="s">
        <v>8</v>
      </c>
      <c r="G58" s="17" t="s">
        <v>51</v>
      </c>
      <c r="H58" s="17" t="s">
        <v>10</v>
      </c>
      <c r="I58" s="17" t="s">
        <v>11</v>
      </c>
      <c r="J58" s="17" t="s">
        <v>12</v>
      </c>
      <c r="K58" s="17" t="s">
        <v>13</v>
      </c>
      <c r="L58" s="17" t="s">
        <v>14</v>
      </c>
      <c r="M58" s="17" t="s">
        <v>15</v>
      </c>
      <c r="N58" s="17" t="s">
        <v>16</v>
      </c>
      <c r="O58" s="17" t="s">
        <v>17</v>
      </c>
      <c r="P58" s="17" t="s">
        <v>18</v>
      </c>
      <c r="Q58" s="17" t="s">
        <v>19</v>
      </c>
      <c r="R58" s="17" t="s">
        <v>20</v>
      </c>
    </row>
    <row r="59" spans="2:18" x14ac:dyDescent="0.2">
      <c r="B59" s="22" t="s">
        <v>115</v>
      </c>
      <c r="C59" s="23" t="s">
        <v>116</v>
      </c>
      <c r="D59" s="24">
        <f>Tabla13412202838465462707886941021101181261341421501341581661741821901581661741982062142222302382462542622702782862943023103183263343403483563643723801220[[#This Row],[STOCK]]</f>
        <v>375</v>
      </c>
      <c r="E59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362</v>
      </c>
      <c r="F59" s="23"/>
      <c r="G59" s="24">
        <v>5</v>
      </c>
      <c r="H59" s="39"/>
      <c r="I59" s="40"/>
      <c r="J59" s="41"/>
      <c r="K59" s="39">
        <v>6</v>
      </c>
      <c r="L59" s="40"/>
      <c r="M59" s="41">
        <v>2</v>
      </c>
      <c r="N59" s="39"/>
      <c r="O59" s="40"/>
      <c r="P59" s="41"/>
      <c r="Q59" s="39"/>
      <c r="R59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13</v>
      </c>
    </row>
    <row r="60" spans="2:18" x14ac:dyDescent="0.2">
      <c r="B60" s="29" t="s">
        <v>117</v>
      </c>
      <c r="C60" s="30" t="s">
        <v>118</v>
      </c>
      <c r="D60" s="31">
        <f>Tabla13412202838465462707886941021101181261341421501341581661741821901581661741982062142222302382462542622702782862943023103183263343403483563643723801220[[#This Row],[STOCK]]</f>
        <v>139</v>
      </c>
      <c r="E60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134</v>
      </c>
      <c r="F60" s="30"/>
      <c r="G60" s="31"/>
      <c r="H60" s="42"/>
      <c r="I60" s="43"/>
      <c r="J60" s="44"/>
      <c r="K60" s="42">
        <v>5</v>
      </c>
      <c r="L60" s="43"/>
      <c r="M60" s="44"/>
      <c r="N60" s="42"/>
      <c r="O60" s="43"/>
      <c r="P60" s="44"/>
      <c r="Q60" s="42"/>
      <c r="R60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5</v>
      </c>
    </row>
    <row r="61" spans="2:18" x14ac:dyDescent="0.2">
      <c r="B61" s="22" t="s">
        <v>119</v>
      </c>
      <c r="C61" s="23" t="s">
        <v>120</v>
      </c>
      <c r="D61" s="24">
        <f>Tabla13412202838465462707886941021101181261341421501341581661741821901581661741982062142222302382462542622702782862943023103183263343403483563643723801220[[#This Row],[STOCK]]</f>
        <v>510</v>
      </c>
      <c r="E61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608</v>
      </c>
      <c r="F61" s="23"/>
      <c r="G61" s="24">
        <v>5</v>
      </c>
      <c r="H61" s="39"/>
      <c r="I61" s="40"/>
      <c r="J61" s="41">
        <v>108</v>
      </c>
      <c r="K61" s="39">
        <v>5</v>
      </c>
      <c r="L61" s="40"/>
      <c r="M61" s="41"/>
      <c r="N61" s="39"/>
      <c r="O61" s="40"/>
      <c r="P61" s="41"/>
      <c r="Q61" s="39"/>
      <c r="R61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10</v>
      </c>
    </row>
    <row r="62" spans="2:18" x14ac:dyDescent="0.2">
      <c r="B62" s="29" t="s">
        <v>121</v>
      </c>
      <c r="C62" s="30" t="s">
        <v>122</v>
      </c>
      <c r="D62" s="31">
        <f>Tabla13412202838465462707886941021101181261341421501341581661741821901581661741982062142222302382462542622702782862943023103183263343403483563643723801220[[#This Row],[STOCK]]</f>
        <v>489</v>
      </c>
      <c r="E62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489</v>
      </c>
      <c r="F62" s="30"/>
      <c r="G62" s="31"/>
      <c r="H62" s="42"/>
      <c r="I62" s="43"/>
      <c r="J62" s="44"/>
      <c r="K62" s="42"/>
      <c r="L62" s="43"/>
      <c r="M62" s="44"/>
      <c r="N62" s="42"/>
      <c r="O62" s="43"/>
      <c r="P62" s="44"/>
      <c r="Q62" s="42"/>
      <c r="R62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63" spans="2:18" x14ac:dyDescent="0.2">
      <c r="B63" s="22" t="s">
        <v>123</v>
      </c>
      <c r="C63" s="23" t="s">
        <v>124</v>
      </c>
      <c r="D63" s="24">
        <f>Tabla13412202838465462707886941021101181261341421501341581661741821901581661741982062142222302382462542622702782862943023103183263343403483563643723801220[[#This Row],[STOCK]]</f>
        <v>101</v>
      </c>
      <c r="E63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101</v>
      </c>
      <c r="F63" s="23"/>
      <c r="G63" s="24"/>
      <c r="H63" s="39"/>
      <c r="I63" s="40"/>
      <c r="J63" s="41"/>
      <c r="K63" s="39"/>
      <c r="L63" s="40"/>
      <c r="M63" s="41"/>
      <c r="N63" s="39"/>
      <c r="O63" s="40"/>
      <c r="P63" s="41"/>
      <c r="Q63" s="39"/>
      <c r="R63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64" spans="2:18" x14ac:dyDescent="0.2">
      <c r="B64" s="29" t="s">
        <v>125</v>
      </c>
      <c r="C64" s="30" t="s">
        <v>126</v>
      </c>
      <c r="D64" s="31">
        <f>Tabla13412202838465462707886941021101181261341421501341581661741821901581661741982062142222302382462542622702782862943023103183263343403483563643723801220[[#This Row],[STOCK]]</f>
        <v>594</v>
      </c>
      <c r="E64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594</v>
      </c>
      <c r="F64" s="30"/>
      <c r="G64" s="31"/>
      <c r="H64" s="42"/>
      <c r="I64" s="43"/>
      <c r="J64" s="44"/>
      <c r="K64" s="42"/>
      <c r="L64" s="43"/>
      <c r="M64" s="44"/>
      <c r="N64" s="42"/>
      <c r="O64" s="43"/>
      <c r="P64" s="44"/>
      <c r="Q64" s="42"/>
      <c r="R64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65" spans="2:18" x14ac:dyDescent="0.2">
      <c r="B65" s="22" t="s">
        <v>127</v>
      </c>
      <c r="C65" s="23" t="s">
        <v>128</v>
      </c>
      <c r="D65" s="24">
        <f>Tabla13412202838465462707886941021101181261341421501341581661741821901581661741982062142222302382462542622702782862943023103183263343403483563643723801220[[#This Row],[STOCK]]</f>
        <v>666</v>
      </c>
      <c r="E65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666</v>
      </c>
      <c r="F65" s="23"/>
      <c r="G65" s="24"/>
      <c r="H65" s="39"/>
      <c r="I65" s="40"/>
      <c r="J65" s="41"/>
      <c r="K65" s="39"/>
      <c r="L65" s="40"/>
      <c r="M65" s="41"/>
      <c r="N65" s="39"/>
      <c r="O65" s="40"/>
      <c r="P65" s="41"/>
      <c r="Q65" s="39"/>
      <c r="R65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66" spans="2:18" x14ac:dyDescent="0.2">
      <c r="B66" s="29" t="s">
        <v>129</v>
      </c>
      <c r="C66" s="30" t="s">
        <v>130</v>
      </c>
      <c r="D66" s="31">
        <f>Tabla13412202838465462707886941021101181261341421501341581661741821901581661741982062142222302382462542622702782862943023103183263343403483563643723801220[[#This Row],[STOCK]]</f>
        <v>275</v>
      </c>
      <c r="E66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275</v>
      </c>
      <c r="F66" s="30"/>
      <c r="G66" s="31"/>
      <c r="H66" s="42"/>
      <c r="I66" s="43"/>
      <c r="J66" s="44"/>
      <c r="K66" s="42"/>
      <c r="L66" s="43"/>
      <c r="M66" s="44"/>
      <c r="N66" s="42"/>
      <c r="O66" s="43"/>
      <c r="P66" s="44"/>
      <c r="Q66" s="42"/>
      <c r="R66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67" spans="2:18" x14ac:dyDescent="0.2">
      <c r="B67" s="22" t="s">
        <v>131</v>
      </c>
      <c r="C67" s="23" t="s">
        <v>132</v>
      </c>
      <c r="D67" s="24">
        <f>Tabla13412202838465462707886941021101181261341421501341581661741821901581661741982062142222302382462542622702782862943023103183263343403483563643723801220[[#This Row],[STOCK]]</f>
        <v>0</v>
      </c>
      <c r="E67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0</v>
      </c>
      <c r="F67" s="23"/>
      <c r="G67" s="24"/>
      <c r="H67" s="39"/>
      <c r="I67" s="40"/>
      <c r="J67" s="41"/>
      <c r="K67" s="39"/>
      <c r="L67" s="40"/>
      <c r="M67" s="41"/>
      <c r="N67" s="39"/>
      <c r="O67" s="40"/>
      <c r="P67" s="41"/>
      <c r="Q67" s="39"/>
      <c r="R67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68" spans="2:18" x14ac:dyDescent="0.2">
      <c r="B68" s="29" t="s">
        <v>133</v>
      </c>
      <c r="C68" s="30" t="s">
        <v>134</v>
      </c>
      <c r="D68" s="31">
        <f>Tabla13412202838465462707886941021101181261341421501341581661741821901581661741982062142222302382462542622702782862943023103183263343403483563643723801220[[#This Row],[STOCK]]</f>
        <v>0</v>
      </c>
      <c r="E68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0</v>
      </c>
      <c r="F68" s="30"/>
      <c r="G68" s="31"/>
      <c r="H68" s="42"/>
      <c r="I68" s="43"/>
      <c r="J68" s="44"/>
      <c r="K68" s="42"/>
      <c r="L68" s="43"/>
      <c r="M68" s="44"/>
      <c r="N68" s="42"/>
      <c r="O68" s="43"/>
      <c r="P68" s="44"/>
      <c r="Q68" s="42"/>
      <c r="R68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69" spans="2:18" s="45" customFormat="1" x14ac:dyDescent="0.2">
      <c r="B69" s="22" t="s">
        <v>135</v>
      </c>
      <c r="C69" s="23" t="s">
        <v>136</v>
      </c>
      <c r="D69" s="24">
        <f>Tabla13412202838465462707886941021101181261341421501341581661741821901581661741982062142222302382462542622702782862943023103183263343403483563643723801220[[#This Row],[STOCK]]</f>
        <v>0</v>
      </c>
      <c r="E69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0</v>
      </c>
      <c r="F69" s="23"/>
      <c r="G69" s="24"/>
      <c r="H69" s="39"/>
      <c r="I69" s="40"/>
      <c r="J69" s="41"/>
      <c r="K69" s="39"/>
      <c r="L69" s="40"/>
      <c r="M69" s="41"/>
      <c r="N69" s="39"/>
      <c r="O69" s="40"/>
      <c r="P69" s="41"/>
      <c r="Q69" s="39"/>
      <c r="R69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70" spans="2:18" x14ac:dyDescent="0.2">
      <c r="B70" s="29" t="s">
        <v>137</v>
      </c>
      <c r="C70" s="30" t="s">
        <v>138</v>
      </c>
      <c r="D70" s="31">
        <f>Tabla13412202838465462707886941021101181261341421501341581661741821901581661741982062142222302382462542622702782862943023103183263343403483563643723801220[[#This Row],[STOCK]]</f>
        <v>0</v>
      </c>
      <c r="E70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0</v>
      </c>
      <c r="F70" s="30"/>
      <c r="G70" s="31"/>
      <c r="H70" s="42"/>
      <c r="I70" s="43"/>
      <c r="J70" s="44"/>
      <c r="K70" s="42"/>
      <c r="L70" s="43"/>
      <c r="M70" s="44"/>
      <c r="N70" s="42"/>
      <c r="O70" s="43"/>
      <c r="P70" s="44"/>
      <c r="Q70" s="42"/>
      <c r="R70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71" spans="2:18" x14ac:dyDescent="0.2">
      <c r="B71" s="22" t="s">
        <v>139</v>
      </c>
      <c r="C71" s="23" t="s">
        <v>140</v>
      </c>
      <c r="D71" s="24">
        <f>Tabla13412202838465462707886941021101181261341421501341581661741821901581661741982062142222302382462542622702782862943023103183263343403483563643723801220[[#This Row],[STOCK]]</f>
        <v>469</v>
      </c>
      <c r="E71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468</v>
      </c>
      <c r="F71" s="23"/>
      <c r="G71" s="24"/>
      <c r="H71" s="39"/>
      <c r="I71" s="40"/>
      <c r="J71" s="41"/>
      <c r="K71" s="39">
        <v>1</v>
      </c>
      <c r="L71" s="40"/>
      <c r="M71" s="41"/>
      <c r="N71" s="39"/>
      <c r="O71" s="40"/>
      <c r="P71" s="41"/>
      <c r="Q71" s="39"/>
      <c r="R71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1</v>
      </c>
    </row>
    <row r="72" spans="2:18" x14ac:dyDescent="0.2">
      <c r="B72" s="29" t="s">
        <v>141</v>
      </c>
      <c r="C72" s="30" t="s">
        <v>142</v>
      </c>
      <c r="D72" s="31">
        <f>Tabla13412202838465462707886941021101181261341421501341581661741821901581661741982062142222302382462542622702782862943023103183263343403483563643723801220[[#This Row],[STOCK]]</f>
        <v>227</v>
      </c>
      <c r="E72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227</v>
      </c>
      <c r="F72" s="30"/>
      <c r="G72" s="31"/>
      <c r="H72" s="42"/>
      <c r="I72" s="43"/>
      <c r="J72" s="44"/>
      <c r="K72" s="42"/>
      <c r="L72" s="43"/>
      <c r="M72" s="44"/>
      <c r="N72" s="42"/>
      <c r="O72" s="43"/>
      <c r="P72" s="44"/>
      <c r="Q72" s="42"/>
      <c r="R72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73" spans="2:18" x14ac:dyDescent="0.2">
      <c r="B73" s="22" t="s">
        <v>143</v>
      </c>
      <c r="C73" s="23" t="s">
        <v>144</v>
      </c>
      <c r="D73" s="24">
        <f>Tabla13412202838465462707886941021101181261341421501341581661741821901581661741982062142222302382462542622702782862943023103183263343403483563643723801220[[#This Row],[STOCK]]</f>
        <v>540</v>
      </c>
      <c r="E73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539</v>
      </c>
      <c r="F73" s="23"/>
      <c r="G73" s="24"/>
      <c r="H73" s="39"/>
      <c r="I73" s="40"/>
      <c r="J73" s="41"/>
      <c r="K73" s="39">
        <v>1</v>
      </c>
      <c r="L73" s="40"/>
      <c r="M73" s="41"/>
      <c r="N73" s="39"/>
      <c r="O73" s="40"/>
      <c r="P73" s="41"/>
      <c r="Q73" s="39"/>
      <c r="R73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1</v>
      </c>
    </row>
    <row r="74" spans="2:18" x14ac:dyDescent="0.2">
      <c r="B74" s="29" t="s">
        <v>145</v>
      </c>
      <c r="C74" s="30" t="s">
        <v>146</v>
      </c>
      <c r="D74" s="31">
        <f>Tabla13412202838465462707886941021101181261341421501341581661741821901581661741982062142222302382462542622702782862943023103183263343403483563643723801220[[#This Row],[STOCK]]</f>
        <v>808</v>
      </c>
      <c r="E74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783</v>
      </c>
      <c r="F74" s="30"/>
      <c r="G74" s="31">
        <v>5</v>
      </c>
      <c r="H74" s="42"/>
      <c r="I74" s="43">
        <v>3</v>
      </c>
      <c r="J74" s="44"/>
      <c r="K74" s="42">
        <v>5</v>
      </c>
      <c r="L74" s="43"/>
      <c r="M74" s="44">
        <v>12</v>
      </c>
      <c r="N74" s="42"/>
      <c r="O74" s="43"/>
      <c r="P74" s="44"/>
      <c r="Q74" s="42"/>
      <c r="R74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25</v>
      </c>
    </row>
    <row r="75" spans="2:18" x14ac:dyDescent="0.2">
      <c r="B75" s="22" t="s">
        <v>147</v>
      </c>
      <c r="C75" s="23" t="s">
        <v>148</v>
      </c>
      <c r="D75" s="24">
        <f>Tabla13412202838465462707886941021101181261341421501341581661741821901581661741982062142222302382462542622702782862943023103183263343403483563643723801220[[#This Row],[STOCK]]</f>
        <v>176</v>
      </c>
      <c r="E75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266</v>
      </c>
      <c r="F75" s="23"/>
      <c r="G75" s="24">
        <v>7</v>
      </c>
      <c r="H75" s="39"/>
      <c r="I75" s="40">
        <v>3</v>
      </c>
      <c r="J75" s="41"/>
      <c r="K75" s="39">
        <v>5</v>
      </c>
      <c r="L75" s="40"/>
      <c r="M75" s="41">
        <v>2</v>
      </c>
      <c r="N75" s="39"/>
      <c r="O75" s="40"/>
      <c r="P75" s="41">
        <v>107</v>
      </c>
      <c r="Q75" s="39"/>
      <c r="R75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17</v>
      </c>
    </row>
    <row r="76" spans="2:18" x14ac:dyDescent="0.2">
      <c r="B76" s="29" t="s">
        <v>149</v>
      </c>
      <c r="C76" s="30" t="s">
        <v>150</v>
      </c>
      <c r="D76" s="31">
        <f>Tabla13412202838465462707886941021101181261341421501341581661741821901581661741982062142222302382462542622702782862943023103183263343403483563643723801220[[#This Row],[STOCK]]</f>
        <v>71</v>
      </c>
      <c r="E76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65</v>
      </c>
      <c r="F76" s="30"/>
      <c r="G76" s="31">
        <v>1</v>
      </c>
      <c r="H76" s="42"/>
      <c r="I76" s="43"/>
      <c r="J76" s="44"/>
      <c r="K76" s="42">
        <v>5</v>
      </c>
      <c r="L76" s="43"/>
      <c r="M76" s="44"/>
      <c r="N76" s="42"/>
      <c r="O76" s="43"/>
      <c r="P76" s="44"/>
      <c r="Q76" s="42"/>
      <c r="R76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6</v>
      </c>
    </row>
    <row r="77" spans="2:18" x14ac:dyDescent="0.2">
      <c r="B77" s="22" t="s">
        <v>151</v>
      </c>
      <c r="C77" s="23" t="s">
        <v>152</v>
      </c>
      <c r="D77" s="24">
        <f>Tabla13412202838465462707886941021101181261341421501341581661741821901581661741982062142222302382462542622702782862943023103183263343403483563643723801220[[#This Row],[STOCK]]</f>
        <v>498</v>
      </c>
      <c r="E77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498</v>
      </c>
      <c r="F77" s="23"/>
      <c r="G77" s="24"/>
      <c r="H77" s="39"/>
      <c r="I77" s="40"/>
      <c r="J77" s="41"/>
      <c r="K77" s="39"/>
      <c r="L77" s="40"/>
      <c r="M77" s="41"/>
      <c r="N77" s="39"/>
      <c r="O77" s="40"/>
      <c r="P77" s="41"/>
      <c r="Q77" s="39"/>
      <c r="R77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78" spans="2:18" x14ac:dyDescent="0.2">
      <c r="B78" s="29" t="s">
        <v>153</v>
      </c>
      <c r="C78" s="30" t="s">
        <v>154</v>
      </c>
      <c r="D78" s="31">
        <f>Tabla13412202838465462707886941021101181261341421501341581661741821901581661741982062142222302382462542622702782862943023103183263343403483563643723801220[[#This Row],[STOCK]]</f>
        <v>426</v>
      </c>
      <c r="E78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426</v>
      </c>
      <c r="F78" s="30"/>
      <c r="G78" s="31"/>
      <c r="H78" s="42"/>
      <c r="I78" s="43"/>
      <c r="J78" s="44"/>
      <c r="K78" s="42"/>
      <c r="L78" s="43"/>
      <c r="M78" s="44"/>
      <c r="N78" s="42"/>
      <c r="O78" s="43"/>
      <c r="P78" s="44"/>
      <c r="Q78" s="42"/>
      <c r="R78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79" spans="2:18" x14ac:dyDescent="0.2">
      <c r="B79" s="22" t="s">
        <v>155</v>
      </c>
      <c r="C79" s="23" t="s">
        <v>156</v>
      </c>
      <c r="D79" s="24">
        <f>Tabla13412202838465462707886941021101181261341421501341581661741821901581661741982062142222302382462542622702782862943023103183263343403483563643723801220[[#This Row],[STOCK]]</f>
        <v>137</v>
      </c>
      <c r="E79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137</v>
      </c>
      <c r="F79" s="23"/>
      <c r="G79" s="24"/>
      <c r="H79" s="39"/>
      <c r="I79" s="40"/>
      <c r="J79" s="41"/>
      <c r="K79" s="39"/>
      <c r="L79" s="40"/>
      <c r="M79" s="41"/>
      <c r="N79" s="39"/>
      <c r="O79" s="40"/>
      <c r="P79" s="41"/>
      <c r="Q79" s="39"/>
      <c r="R79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80" spans="2:18" x14ac:dyDescent="0.2">
      <c r="B80" s="29" t="s">
        <v>157</v>
      </c>
      <c r="C80" s="30" t="s">
        <v>158</v>
      </c>
      <c r="D80" s="31">
        <f>Tabla13412202838465462707886941021101181261341421501341581661741821901581661741982062142222302382462542622702782862943023103183263343403483563643723801220[[#This Row],[STOCK]]</f>
        <v>782</v>
      </c>
      <c r="E80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782</v>
      </c>
      <c r="F80" s="30"/>
      <c r="G80" s="31"/>
      <c r="H80" s="42"/>
      <c r="I80" s="43"/>
      <c r="J80" s="44"/>
      <c r="K80" s="42"/>
      <c r="L80" s="43"/>
      <c r="M80" s="44"/>
      <c r="N80" s="42"/>
      <c r="O80" s="43"/>
      <c r="P80" s="44"/>
      <c r="Q80" s="42"/>
      <c r="R80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81" spans="2:18" s="53" customFormat="1" x14ac:dyDescent="0.2">
      <c r="B81" s="46" t="s">
        <v>159</v>
      </c>
      <c r="C81" s="47" t="s">
        <v>160</v>
      </c>
      <c r="D81" s="48">
        <f>Tabla13412202838465462707886941021101181261341421501341581661741821901581661741982062142222302382462542622702782862943023103183263343403483563643723801220[[#This Row],[STOCK]]</f>
        <v>256</v>
      </c>
      <c r="E81" s="49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255</v>
      </c>
      <c r="F81" s="47"/>
      <c r="G81" s="48"/>
      <c r="H81" s="50"/>
      <c r="I81" s="51"/>
      <c r="J81" s="52"/>
      <c r="K81" s="50">
        <v>1</v>
      </c>
      <c r="L81" s="51"/>
      <c r="M81" s="52"/>
      <c r="N81" s="50"/>
      <c r="O81" s="51"/>
      <c r="P81" s="52"/>
      <c r="Q81" s="50"/>
      <c r="R81" s="47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1</v>
      </c>
    </row>
    <row r="82" spans="2:18" x14ac:dyDescent="0.2">
      <c r="B82" s="29" t="s">
        <v>161</v>
      </c>
      <c r="C82" s="30" t="s">
        <v>162</v>
      </c>
      <c r="D82" s="31">
        <f>Tabla13412202838465462707886941021101181261341421501341581661741821901581661741982062142222302382462542622702782862943023103183263343403483563643723801220[[#This Row],[STOCK]]</f>
        <v>505</v>
      </c>
      <c r="E82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503</v>
      </c>
      <c r="F82" s="30"/>
      <c r="G82" s="31"/>
      <c r="H82" s="42"/>
      <c r="I82" s="43"/>
      <c r="J82" s="44"/>
      <c r="K82" s="42">
        <v>2</v>
      </c>
      <c r="L82" s="43"/>
      <c r="M82" s="44"/>
      <c r="N82" s="42"/>
      <c r="O82" s="43"/>
      <c r="P82" s="44"/>
      <c r="Q82" s="42"/>
      <c r="R82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2</v>
      </c>
    </row>
    <row r="83" spans="2:18" x14ac:dyDescent="0.2">
      <c r="B83" s="22" t="s">
        <v>163</v>
      </c>
      <c r="C83" s="23" t="s">
        <v>164</v>
      </c>
      <c r="D83" s="24">
        <f>Tabla13412202838465462707886941021101181261341421501341581661741821901581661741982062142222302382462542622702782862943023103183263343403483563643723801220[[#This Row],[STOCK]]</f>
        <v>228</v>
      </c>
      <c r="E83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222</v>
      </c>
      <c r="F83" s="23"/>
      <c r="G83" s="24"/>
      <c r="H83" s="39"/>
      <c r="I83" s="40"/>
      <c r="J83" s="41"/>
      <c r="K83" s="39">
        <v>6</v>
      </c>
      <c r="L83" s="40"/>
      <c r="M83" s="41"/>
      <c r="N83" s="39"/>
      <c r="O83" s="40"/>
      <c r="P83" s="41"/>
      <c r="Q83" s="39"/>
      <c r="R83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6</v>
      </c>
    </row>
    <row r="84" spans="2:18" x14ac:dyDescent="0.2">
      <c r="B84" s="29" t="s">
        <v>165</v>
      </c>
      <c r="C84" s="30" t="s">
        <v>166</v>
      </c>
      <c r="D84" s="31">
        <f>Tabla13412202838465462707886941021101181261341421501341581661741821901581661741982062142222302382462542622702782862943023103183263343403483563643723801220[[#This Row],[STOCK]]</f>
        <v>268</v>
      </c>
      <c r="E84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268</v>
      </c>
      <c r="F84" s="30"/>
      <c r="G84" s="31"/>
      <c r="H84" s="42"/>
      <c r="I84" s="43"/>
      <c r="J84" s="44"/>
      <c r="K84" s="42"/>
      <c r="L84" s="43"/>
      <c r="M84" s="44"/>
      <c r="N84" s="42"/>
      <c r="O84" s="43"/>
      <c r="P84" s="44"/>
      <c r="Q84" s="42"/>
      <c r="R84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85" spans="2:18" x14ac:dyDescent="0.2">
      <c r="B85" s="22" t="s">
        <v>167</v>
      </c>
      <c r="C85" s="23" t="s">
        <v>168</v>
      </c>
      <c r="D85" s="24">
        <f>Tabla13412202838465462707886941021101181261341421501341581661741821901581661741982062142222302382462542622702782862943023103183263343403483563643723801220[[#This Row],[STOCK]]</f>
        <v>17</v>
      </c>
      <c r="E85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17</v>
      </c>
      <c r="F85" s="23"/>
      <c r="G85" s="24"/>
      <c r="H85" s="39"/>
      <c r="I85" s="40"/>
      <c r="J85" s="41"/>
      <c r="K85" s="39"/>
      <c r="L85" s="40"/>
      <c r="M85" s="41"/>
      <c r="N85" s="39"/>
      <c r="O85" s="40"/>
      <c r="P85" s="41"/>
      <c r="Q85" s="39"/>
      <c r="R85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86" spans="2:18" x14ac:dyDescent="0.2">
      <c r="B86" s="29" t="s">
        <v>169</v>
      </c>
      <c r="C86" s="30" t="s">
        <v>170</v>
      </c>
      <c r="D86" s="31">
        <f>Tabla13412202838465462707886941021101181261341421501341581661741821901581661741982062142222302382462542622702782862943023103183263343403483563643723801220[[#This Row],[STOCK]]</f>
        <v>291</v>
      </c>
      <c r="E86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291</v>
      </c>
      <c r="F86" s="30"/>
      <c r="G86" s="31"/>
      <c r="H86" s="42"/>
      <c r="I86" s="43"/>
      <c r="J86" s="44"/>
      <c r="K86" s="42"/>
      <c r="L86" s="43"/>
      <c r="M86" s="44"/>
      <c r="N86" s="42"/>
      <c r="O86" s="43"/>
      <c r="P86" s="44"/>
      <c r="Q86" s="42"/>
      <c r="R86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87" spans="2:18" x14ac:dyDescent="0.2">
      <c r="B87" s="22" t="s">
        <v>171</v>
      </c>
      <c r="C87" s="23" t="s">
        <v>172</v>
      </c>
      <c r="D87" s="24">
        <f>Tabla13412202838465462707886941021101181261341421501341581661741821901581661741982062142222302382462542622702782862943023103183263343403483563643723801220[[#This Row],[STOCK]]</f>
        <v>79</v>
      </c>
      <c r="E87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78</v>
      </c>
      <c r="F87" s="23"/>
      <c r="G87" s="24"/>
      <c r="H87" s="39"/>
      <c r="I87" s="40"/>
      <c r="J87" s="41"/>
      <c r="K87" s="39">
        <v>1</v>
      </c>
      <c r="L87" s="40"/>
      <c r="M87" s="41"/>
      <c r="N87" s="39"/>
      <c r="O87" s="40"/>
      <c r="P87" s="41"/>
      <c r="Q87" s="39"/>
      <c r="R87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1</v>
      </c>
    </row>
    <row r="88" spans="2:18" x14ac:dyDescent="0.2">
      <c r="B88" s="29" t="s">
        <v>173</v>
      </c>
      <c r="C88" s="30" t="s">
        <v>174</v>
      </c>
      <c r="D88" s="31">
        <f>Tabla13412202838465462707886941021101181261341421501341581661741821901581661741982062142222302382462542622702782862943023103183263343403483563643723801220[[#This Row],[STOCK]]</f>
        <v>377</v>
      </c>
      <c r="E88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375</v>
      </c>
      <c r="F88" s="30"/>
      <c r="G88" s="31"/>
      <c r="H88" s="42"/>
      <c r="I88" s="43"/>
      <c r="J88" s="44"/>
      <c r="K88" s="42">
        <v>2</v>
      </c>
      <c r="L88" s="43"/>
      <c r="M88" s="44"/>
      <c r="N88" s="42"/>
      <c r="O88" s="43"/>
      <c r="P88" s="44"/>
      <c r="Q88" s="42"/>
      <c r="R88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2</v>
      </c>
    </row>
    <row r="89" spans="2:18" x14ac:dyDescent="0.2">
      <c r="B89" s="22" t="s">
        <v>175</v>
      </c>
      <c r="C89" s="23" t="s">
        <v>176</v>
      </c>
      <c r="D89" s="24">
        <f>Tabla13412202838465462707886941021101181261341421501341581661741821901581661741982062142222302382462542622702782862943023103183263343403483563643723801220[[#This Row],[STOCK]]</f>
        <v>50</v>
      </c>
      <c r="E89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44</v>
      </c>
      <c r="F89" s="23"/>
      <c r="G89" s="24"/>
      <c r="H89" s="39"/>
      <c r="I89" s="40"/>
      <c r="J89" s="41"/>
      <c r="K89" s="39">
        <v>6</v>
      </c>
      <c r="L89" s="40"/>
      <c r="M89" s="41"/>
      <c r="N89" s="39"/>
      <c r="O89" s="40"/>
      <c r="P89" s="41"/>
      <c r="Q89" s="39"/>
      <c r="R89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6</v>
      </c>
    </row>
    <row r="90" spans="2:18" x14ac:dyDescent="0.2">
      <c r="B90" s="29" t="s">
        <v>177</v>
      </c>
      <c r="C90" s="30" t="s">
        <v>178</v>
      </c>
      <c r="D90" s="31">
        <f>Tabla13412202838465462707886941021101181261341421501341581661741821901581661741982062142222302382462542622702782862943023103183263343403483563643723801220[[#This Row],[STOCK]]</f>
        <v>349</v>
      </c>
      <c r="E90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349</v>
      </c>
      <c r="F90" s="30"/>
      <c r="G90" s="31"/>
      <c r="H90" s="42"/>
      <c r="I90" s="43"/>
      <c r="J90" s="44"/>
      <c r="K90" s="42"/>
      <c r="L90" s="43"/>
      <c r="M90" s="44"/>
      <c r="N90" s="42"/>
      <c r="O90" s="43"/>
      <c r="P90" s="44"/>
      <c r="Q90" s="42"/>
      <c r="R90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91" spans="2:18" x14ac:dyDescent="0.2">
      <c r="B91" s="22" t="s">
        <v>179</v>
      </c>
      <c r="C91" s="23" t="s">
        <v>180</v>
      </c>
      <c r="D91" s="24">
        <f>Tabla13412202838465462707886941021101181261341421501341581661741821901581661741982062142222302382462542622702782862943023103183263343403483563643723801220[[#This Row],[STOCK]]</f>
        <v>39</v>
      </c>
      <c r="E91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39</v>
      </c>
      <c r="F91" s="23"/>
      <c r="G91" s="24"/>
      <c r="H91" s="39"/>
      <c r="I91" s="40"/>
      <c r="J91" s="41"/>
      <c r="K91" s="39"/>
      <c r="L91" s="40"/>
      <c r="M91" s="41"/>
      <c r="N91" s="39"/>
      <c r="O91" s="40"/>
      <c r="P91" s="41"/>
      <c r="Q91" s="39"/>
      <c r="R91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92" spans="2:18" x14ac:dyDescent="0.2">
      <c r="B92" s="29" t="s">
        <v>181</v>
      </c>
      <c r="C92" s="30" t="s">
        <v>182</v>
      </c>
      <c r="D92" s="31">
        <f>Tabla13412202838465462707886941021101181261341421501341581661741821901581661741982062142222302382462542622702782862943023103183263343403483563643723801220[[#This Row],[STOCK]]</f>
        <v>293</v>
      </c>
      <c r="E92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293</v>
      </c>
      <c r="F92" s="30"/>
      <c r="G92" s="31"/>
      <c r="H92" s="42"/>
      <c r="I92" s="43"/>
      <c r="J92" s="44"/>
      <c r="K92" s="42"/>
      <c r="L92" s="43"/>
      <c r="M92" s="44"/>
      <c r="N92" s="42"/>
      <c r="O92" s="43"/>
      <c r="P92" s="44"/>
      <c r="Q92" s="42"/>
      <c r="R92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93" spans="2:18" x14ac:dyDescent="0.2">
      <c r="B93" s="22" t="s">
        <v>183</v>
      </c>
      <c r="C93" s="23" t="s">
        <v>184</v>
      </c>
      <c r="D93" s="24">
        <f>Tabla13412202838465462707886941021101181261341421501341581661741821901581661741982062142222302382462542622702782862943023103183263343403483563643723801220[[#This Row],[STOCK]]</f>
        <v>0</v>
      </c>
      <c r="E93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0</v>
      </c>
      <c r="F93" s="23"/>
      <c r="G93" s="24"/>
      <c r="H93" s="39"/>
      <c r="I93" s="40"/>
      <c r="J93" s="41"/>
      <c r="K93" s="39"/>
      <c r="L93" s="40"/>
      <c r="M93" s="41"/>
      <c r="N93" s="39"/>
      <c r="O93" s="40"/>
      <c r="P93" s="41"/>
      <c r="Q93" s="39"/>
      <c r="R93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94" spans="2:18" x14ac:dyDescent="0.2">
      <c r="B94" s="29" t="s">
        <v>185</v>
      </c>
      <c r="C94" s="30" t="s">
        <v>186</v>
      </c>
      <c r="D94" s="31">
        <f>Tabla13412202838465462707886941021101181261341421501341581661741821901581661741982062142222302382462542622702782862943023103183263343403483563643723801220[[#This Row],[STOCK]]</f>
        <v>0</v>
      </c>
      <c r="E94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0</v>
      </c>
      <c r="F94" s="30"/>
      <c r="G94" s="31"/>
      <c r="H94" s="42"/>
      <c r="I94" s="43"/>
      <c r="J94" s="44"/>
      <c r="K94" s="42"/>
      <c r="L94" s="43"/>
      <c r="M94" s="44"/>
      <c r="N94" s="42"/>
      <c r="O94" s="43"/>
      <c r="P94" s="44"/>
      <c r="Q94" s="42"/>
      <c r="R94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95" spans="2:18" x14ac:dyDescent="0.2">
      <c r="B95" s="22" t="s">
        <v>187</v>
      </c>
      <c r="C95" s="23" t="s">
        <v>188</v>
      </c>
      <c r="D95" s="24">
        <f>Tabla13412202838465462707886941021101181261341421501341581661741821901581661741982062142222302382462542622702782862943023103183263343403483563643723801220[[#This Row],[STOCK]]</f>
        <v>0</v>
      </c>
      <c r="E95" s="25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0</v>
      </c>
      <c r="F95" s="23"/>
      <c r="G95" s="24"/>
      <c r="H95" s="39"/>
      <c r="I95" s="40"/>
      <c r="J95" s="41"/>
      <c r="K95" s="39"/>
      <c r="L95" s="40"/>
      <c r="M95" s="41"/>
      <c r="N95" s="39"/>
      <c r="O95" s="40"/>
      <c r="P95" s="41"/>
      <c r="Q95" s="39"/>
      <c r="R95" s="23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96" spans="2:18" x14ac:dyDescent="0.2">
      <c r="B96" s="29" t="s">
        <v>189</v>
      </c>
      <c r="C96" s="30" t="s">
        <v>190</v>
      </c>
      <c r="D96" s="31">
        <f>Tabla13412202838465462707886941021101181261341421501341581661741821901581661741982062142222302382462542622702782862943023103183263343403483563643723801220[[#This Row],[STOCK]]</f>
        <v>0</v>
      </c>
      <c r="E96" s="32">
        <f>Tabla1341220283846546270788694102110118126134142150134158166174182190158166174198206214222230238246254262270278286294302310318326334340348356364372380122028[[#This Row],[INVENTARIO INICIAL]]+Tabla1341220283846546270788694102110118126134142150134158166174182190158166174198206214222230238246254262270278286294302310318326334340348356364372380122028[[#This Row],[INGRESO LUNES]]-Tabla1341220283846546270788694102110118126134142150134158166174182190158166174198206214222230238246254262270278286294302310318326334340348356364372380122028[[#This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Row],[INGRESO MARTES]]-Tabla1341220283846546270788694102110118126134142150134158166174182190158166174198206214222230238246254262270278286294302310318326334340348356364372380122028[[#This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Row],[INGRESO MIERCOLES]]-Tabla1341220283846546270788694102110118126134142150134158166174182190158166174198206214222230238246254262270278286294302310318326334340348356364372380122028[[#This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Row],[INGRESO JUEVES]]-Tabla1341220283846546270788694102110118126134142150134158166174182190158166174198206214222230238246254262270278286294302310318326334340348356364372380122028[[#This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Row],[INGRESO VIERNES]]-Tabla1341220283846546270788694102110118126134142150134158166174182190158166174198206214222230238246254262270278286294302310318326334340348356364372380122028[[#This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 INGRESO SABADO]]-Tabla1341220283846546270788694102110118126134142150134158166174182190158166174198206214222230238246254262270278286294302310318326334340348356364372380122028[[#This Row],[VENTA SABADO]]</f>
        <v>0</v>
      </c>
      <c r="F96" s="30"/>
      <c r="G96" s="31"/>
      <c r="H96" s="42"/>
      <c r="I96" s="43"/>
      <c r="J96" s="44"/>
      <c r="K96" s="42"/>
      <c r="L96" s="43"/>
      <c r="M96" s="44"/>
      <c r="N96" s="42"/>
      <c r="O96" s="43"/>
      <c r="P96" s="44"/>
      <c r="Q96" s="42"/>
      <c r="R96" s="30">
        <f>Tabla1341220283846546270788694102110118126134142150134158166174182190158166174198206214222230238246254262270278286294302310318326334340348356364372380122028[[#This Row],[VENTA LUNES]]+Tabla1341220283846546270788694102110118126134142150134158166174182190158166174198206214222230238246254262270278286294302310318326334340348356364372380122028[[#This Row],[VENTA MARTES]]+Tabla1341220283846546270788694102110118126134142150134158166174182190158166174198206214222230238246254262270278286294302310318326334340348356364372380122028[[#This Row],[VENTA MIERCOLES]]+Tabla1341220283846546270788694102110118126134142150134158166174182190158166174198206214222230238246254262270278286294302310318326334340348356364372380122028[[#This Row],[VENTA JUEVES]]+Tabla1341220283846546270788694102110118126134142150134158166174182190158166174198206214222230238246254262270278286294302310318326334340348356364372380122028[[#This Row],[VENTA VIERNES]]+Tabla1341220283846546270788694102110118126134142150134158166174182190158166174198206214222230238246254262270278286294302310318326334340348356364372380122028[[#This Row],[VENTA SABADO]]</f>
        <v>0</v>
      </c>
    </row>
    <row r="98" spans="2:18" s="54" customFormat="1" ht="38.25" x14ac:dyDescent="0.2">
      <c r="B98" s="17" t="s">
        <v>191</v>
      </c>
      <c r="C98" s="17" t="s">
        <v>5</v>
      </c>
      <c r="D98" s="17" t="s">
        <v>6</v>
      </c>
      <c r="E98" s="37" t="s">
        <v>7</v>
      </c>
      <c r="F98" s="17" t="s">
        <v>8</v>
      </c>
      <c r="G98" s="17" t="s">
        <v>51</v>
      </c>
      <c r="H98" s="17" t="s">
        <v>10</v>
      </c>
      <c r="I98" s="17" t="s">
        <v>11</v>
      </c>
      <c r="J98" s="17" t="s">
        <v>12</v>
      </c>
      <c r="K98" s="17" t="s">
        <v>13</v>
      </c>
      <c r="L98" s="17" t="s">
        <v>14</v>
      </c>
      <c r="M98" s="17" t="s">
        <v>15</v>
      </c>
      <c r="N98" s="17" t="s">
        <v>16</v>
      </c>
      <c r="O98" s="17" t="s">
        <v>17</v>
      </c>
      <c r="P98" s="17" t="s">
        <v>18</v>
      </c>
      <c r="Q98" s="17" t="s">
        <v>19</v>
      </c>
      <c r="R98" s="17" t="s">
        <v>20</v>
      </c>
    </row>
    <row r="99" spans="2:18" x14ac:dyDescent="0.2">
      <c r="B99" s="22" t="s">
        <v>192</v>
      </c>
      <c r="C99" s="23" t="s">
        <v>193</v>
      </c>
      <c r="D99" s="24">
        <f>Tabla134613212939475563717987951031111191271351431511351591671751831911591671751992072152232312392472552632712792872953033113193273353413493573653733811321[[#This Row],[STOCK]]</f>
        <v>794</v>
      </c>
      <c r="E99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773</v>
      </c>
      <c r="F99" s="23"/>
      <c r="G99" s="24">
        <v>5</v>
      </c>
      <c r="H99" s="39"/>
      <c r="I99" s="40">
        <v>5</v>
      </c>
      <c r="J99" s="41"/>
      <c r="K99" s="39">
        <v>10</v>
      </c>
      <c r="L99" s="40"/>
      <c r="M99" s="41"/>
      <c r="N99" s="39"/>
      <c r="O99" s="40"/>
      <c r="P99" s="41"/>
      <c r="Q99" s="39">
        <v>1</v>
      </c>
      <c r="R99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21</v>
      </c>
    </row>
    <row r="100" spans="2:18" x14ac:dyDescent="0.2">
      <c r="B100" s="29" t="s">
        <v>194</v>
      </c>
      <c r="C100" s="30" t="s">
        <v>195</v>
      </c>
      <c r="D100" s="31">
        <f>Tabla134613212939475563717987951031111191271351431511351591671751831911591671751992072152232312392472552632712792872953033113193273353413493573653733811321[[#This Row],[STOCK]]</f>
        <v>507</v>
      </c>
      <c r="E100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632</v>
      </c>
      <c r="F100" s="30">
        <v>150</v>
      </c>
      <c r="G100" s="31">
        <v>8</v>
      </c>
      <c r="H100" s="42"/>
      <c r="I100" s="43">
        <v>5</v>
      </c>
      <c r="J100" s="44"/>
      <c r="K100" s="42">
        <v>11</v>
      </c>
      <c r="L100" s="43"/>
      <c r="M100" s="44"/>
      <c r="N100" s="42"/>
      <c r="O100" s="43"/>
      <c r="P100" s="44"/>
      <c r="Q100" s="42">
        <v>1</v>
      </c>
      <c r="R100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25</v>
      </c>
    </row>
    <row r="101" spans="2:18" x14ac:dyDescent="0.2">
      <c r="B101" s="22" t="s">
        <v>196</v>
      </c>
      <c r="C101" s="23" t="s">
        <v>197</v>
      </c>
      <c r="D101" s="24">
        <f>Tabla134613212939475563717987951031111191271351431511351591671751831911591671751992072152232312392472552632712792872953033113193273353413493573653733811321[[#This Row],[STOCK]]</f>
        <v>218</v>
      </c>
      <c r="E101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330</v>
      </c>
      <c r="F101" s="23"/>
      <c r="G101" s="24">
        <v>8</v>
      </c>
      <c r="H101" s="39"/>
      <c r="I101" s="40"/>
      <c r="J101" s="41">
        <v>65</v>
      </c>
      <c r="K101" s="39">
        <v>11</v>
      </c>
      <c r="L101" s="40">
        <v>66</v>
      </c>
      <c r="M101" s="41"/>
      <c r="N101" s="39"/>
      <c r="O101" s="40"/>
      <c r="P101" s="41"/>
      <c r="Q101" s="39"/>
      <c r="R101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19</v>
      </c>
    </row>
    <row r="102" spans="2:18" x14ac:dyDescent="0.2">
      <c r="B102" s="29" t="s">
        <v>198</v>
      </c>
      <c r="C102" s="30" t="s">
        <v>199</v>
      </c>
      <c r="D102" s="31">
        <f>Tabla134613212939475563717987951031111191271351431511351591671751831911591671751992072152232312392472552632712792872953033113193273353413493573653733811321[[#This Row],[STOCK]]</f>
        <v>634</v>
      </c>
      <c r="E102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628</v>
      </c>
      <c r="F102" s="30"/>
      <c r="G102" s="31"/>
      <c r="H102" s="42"/>
      <c r="I102" s="43"/>
      <c r="J102" s="44"/>
      <c r="K102" s="42">
        <v>6</v>
      </c>
      <c r="L102" s="43"/>
      <c r="M102" s="44"/>
      <c r="N102" s="42"/>
      <c r="O102" s="43"/>
      <c r="P102" s="44"/>
      <c r="Q102" s="42"/>
      <c r="R102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6</v>
      </c>
    </row>
    <row r="103" spans="2:18" x14ac:dyDescent="0.2">
      <c r="B103" s="22" t="s">
        <v>200</v>
      </c>
      <c r="C103" s="23" t="s">
        <v>201</v>
      </c>
      <c r="D103" s="24">
        <f>Tabla134613212939475563717987951031111191271351431511351591671751831911591671751992072152232312392472552632712792872953033113193273353413493573653733811321[[#This Row],[STOCK]]</f>
        <v>69</v>
      </c>
      <c r="E103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60</v>
      </c>
      <c r="F103" s="23"/>
      <c r="G103" s="24"/>
      <c r="H103" s="39"/>
      <c r="I103" s="40">
        <v>2</v>
      </c>
      <c r="J103" s="41"/>
      <c r="K103" s="39">
        <v>7</v>
      </c>
      <c r="L103" s="40"/>
      <c r="M103" s="41"/>
      <c r="N103" s="39"/>
      <c r="O103" s="40"/>
      <c r="P103" s="41"/>
      <c r="Q103" s="39"/>
      <c r="R103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9</v>
      </c>
    </row>
    <row r="104" spans="2:18" x14ac:dyDescent="0.2">
      <c r="B104" s="29" t="s">
        <v>202</v>
      </c>
      <c r="C104" s="30" t="s">
        <v>203</v>
      </c>
      <c r="D104" s="31">
        <f>Tabla134613212939475563717987951031111191271351431511351591671751831911591671751992072152232312392472552632712792872953033113193273353413493573653733811321[[#This Row],[STOCK]]</f>
        <v>57</v>
      </c>
      <c r="E104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42</v>
      </c>
      <c r="F104" s="30"/>
      <c r="G104" s="31"/>
      <c r="H104" s="42"/>
      <c r="I104" s="43"/>
      <c r="J104" s="44"/>
      <c r="K104" s="42">
        <v>6</v>
      </c>
      <c r="L104" s="43"/>
      <c r="M104" s="44"/>
      <c r="N104" s="42"/>
      <c r="O104" s="43"/>
      <c r="P104" s="44"/>
      <c r="Q104" s="42">
        <v>9</v>
      </c>
      <c r="R104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15</v>
      </c>
    </row>
    <row r="105" spans="2:18" x14ac:dyDescent="0.2">
      <c r="B105" s="22" t="s">
        <v>204</v>
      </c>
      <c r="C105" s="23" t="s">
        <v>205</v>
      </c>
      <c r="D105" s="24">
        <f>Tabla134613212939475563717987951031111191271351431511351591671751831911591671751992072152232312392472552632712792872953033113193273353413493573653733811321[[#This Row],[STOCK]]</f>
        <v>271</v>
      </c>
      <c r="E105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269</v>
      </c>
      <c r="F105" s="23"/>
      <c r="G105" s="24"/>
      <c r="H105" s="39"/>
      <c r="I105" s="40"/>
      <c r="J105" s="41"/>
      <c r="K105" s="39">
        <v>2</v>
      </c>
      <c r="L105" s="40"/>
      <c r="M105" s="41"/>
      <c r="N105" s="39"/>
      <c r="O105" s="40"/>
      <c r="P105" s="41"/>
      <c r="Q105" s="39"/>
      <c r="R105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2</v>
      </c>
    </row>
    <row r="106" spans="2:18" x14ac:dyDescent="0.2">
      <c r="B106" s="29" t="s">
        <v>206</v>
      </c>
      <c r="C106" s="30" t="s">
        <v>207</v>
      </c>
      <c r="D106" s="31">
        <f>Tabla134613212939475563717987951031111191271351431511351591671751831911591671751992072152232312392472552632712792872953033113193273353413493573653733811321[[#This Row],[STOCK]]</f>
        <v>483</v>
      </c>
      <c r="E106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481</v>
      </c>
      <c r="F106" s="30"/>
      <c r="G106" s="31"/>
      <c r="H106" s="42"/>
      <c r="I106" s="43"/>
      <c r="J106" s="44"/>
      <c r="K106" s="42">
        <v>2</v>
      </c>
      <c r="L106" s="43"/>
      <c r="M106" s="44"/>
      <c r="N106" s="42"/>
      <c r="O106" s="43"/>
      <c r="P106" s="44"/>
      <c r="Q106" s="42"/>
      <c r="R106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2</v>
      </c>
    </row>
    <row r="107" spans="2:18" x14ac:dyDescent="0.2">
      <c r="B107" s="22" t="s">
        <v>208</v>
      </c>
      <c r="C107" s="23" t="s">
        <v>209</v>
      </c>
      <c r="D107" s="24">
        <f>Tabla134613212939475563717987951031111191271351431511351591671751831911591671751992072152232312392472552632712792872953033113193273353413493573653733811321[[#This Row],[STOCK]]</f>
        <v>461</v>
      </c>
      <c r="E107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459</v>
      </c>
      <c r="F107" s="23"/>
      <c r="G107" s="24"/>
      <c r="H107" s="39"/>
      <c r="I107" s="40"/>
      <c r="J107" s="41"/>
      <c r="K107" s="39">
        <v>2</v>
      </c>
      <c r="L107" s="40"/>
      <c r="M107" s="41"/>
      <c r="N107" s="39"/>
      <c r="O107" s="40"/>
      <c r="P107" s="41"/>
      <c r="Q107" s="39"/>
      <c r="R107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2</v>
      </c>
    </row>
    <row r="108" spans="2:18" x14ac:dyDescent="0.2">
      <c r="B108" s="29" t="s">
        <v>210</v>
      </c>
      <c r="C108" s="30" t="s">
        <v>211</v>
      </c>
      <c r="D108" s="31">
        <f>Tabla134613212939475563717987951031111191271351431511351591671751831911591671751992072152232312392472552632712792872953033113193273353413493573653733811321[[#This Row],[STOCK]]</f>
        <v>483</v>
      </c>
      <c r="E108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480</v>
      </c>
      <c r="F108" s="30"/>
      <c r="G108" s="31"/>
      <c r="H108" s="42"/>
      <c r="I108" s="43"/>
      <c r="J108" s="44"/>
      <c r="K108" s="42">
        <v>3</v>
      </c>
      <c r="L108" s="43"/>
      <c r="M108" s="44"/>
      <c r="N108" s="42"/>
      <c r="O108" s="43"/>
      <c r="P108" s="44"/>
      <c r="Q108" s="42"/>
      <c r="R108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3</v>
      </c>
    </row>
    <row r="109" spans="2:18" ht="12.75" customHeight="1" x14ac:dyDescent="0.2">
      <c r="B109" s="22" t="s">
        <v>212</v>
      </c>
      <c r="C109" s="23" t="s">
        <v>213</v>
      </c>
      <c r="D109" s="24">
        <f>Tabla134613212939475563717987951031111191271351431511351591671751831911591671751992072152232312392472552632712792872953033113193273353413493573653733811321[[#This Row],[STOCK]]</f>
        <v>340</v>
      </c>
      <c r="E109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550</v>
      </c>
      <c r="F109" s="23"/>
      <c r="G109" s="24"/>
      <c r="H109" s="39">
        <v>72</v>
      </c>
      <c r="I109" s="40"/>
      <c r="J109" s="41">
        <v>72</v>
      </c>
      <c r="K109" s="39">
        <v>4</v>
      </c>
      <c r="L109" s="40"/>
      <c r="M109" s="41"/>
      <c r="N109" s="39"/>
      <c r="O109" s="40"/>
      <c r="P109" s="41">
        <v>70</v>
      </c>
      <c r="Q109" s="39"/>
      <c r="R109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4</v>
      </c>
    </row>
    <row r="110" spans="2:18" x14ac:dyDescent="0.2">
      <c r="B110" s="29" t="s">
        <v>214</v>
      </c>
      <c r="C110" s="30" t="s">
        <v>215</v>
      </c>
      <c r="D110" s="31">
        <f>Tabla134613212939475563717987951031111191271351431511351591671751831911591671751992072152232312392472552632712792872953033113193273353413493573653733811321[[#This Row],[STOCK]]</f>
        <v>115</v>
      </c>
      <c r="E110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184</v>
      </c>
      <c r="F110" s="30"/>
      <c r="G110" s="31"/>
      <c r="H110" s="42"/>
      <c r="I110" s="43"/>
      <c r="J110" s="44">
        <v>72</v>
      </c>
      <c r="K110" s="42">
        <v>3</v>
      </c>
      <c r="L110" s="43"/>
      <c r="M110" s="44"/>
      <c r="N110" s="42"/>
      <c r="O110" s="43"/>
      <c r="P110" s="44"/>
      <c r="Q110" s="42"/>
      <c r="R110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3</v>
      </c>
    </row>
    <row r="111" spans="2:18" x14ac:dyDescent="0.2">
      <c r="B111" s="22" t="s">
        <v>216</v>
      </c>
      <c r="C111" s="23" t="s">
        <v>217</v>
      </c>
      <c r="D111" s="24">
        <f>Tabla134613212939475563717987951031111191271351431511351591671751831911591671751992072152232312392472552632712792872953033113193273353413493573653733811321[[#This Row],[STOCK]]</f>
        <v>99</v>
      </c>
      <c r="E111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83</v>
      </c>
      <c r="F111" s="23"/>
      <c r="G111" s="24">
        <v>5</v>
      </c>
      <c r="H111" s="39"/>
      <c r="I111" s="40"/>
      <c r="J111" s="41"/>
      <c r="K111" s="39">
        <v>5</v>
      </c>
      <c r="L111" s="40"/>
      <c r="M111" s="41">
        <v>2</v>
      </c>
      <c r="N111" s="39"/>
      <c r="O111" s="40"/>
      <c r="P111" s="41"/>
      <c r="Q111" s="39">
        <v>4</v>
      </c>
      <c r="R111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16</v>
      </c>
    </row>
    <row r="112" spans="2:18" x14ac:dyDescent="0.2">
      <c r="B112" s="29" t="s">
        <v>218</v>
      </c>
      <c r="C112" s="30" t="s">
        <v>219</v>
      </c>
      <c r="D112" s="31">
        <f>Tabla134613212939475563717987951031111191271351431511351591671751831911591671751992072152232312392472552632712792872953033113193273353413493573653733811321[[#This Row],[STOCK]]</f>
        <v>504</v>
      </c>
      <c r="E112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489</v>
      </c>
      <c r="F112" s="30"/>
      <c r="G112" s="31">
        <v>5</v>
      </c>
      <c r="H112" s="42"/>
      <c r="I112" s="43"/>
      <c r="J112" s="44"/>
      <c r="K112" s="42">
        <v>6</v>
      </c>
      <c r="L112" s="43"/>
      <c r="M112" s="44"/>
      <c r="N112" s="42"/>
      <c r="O112" s="43"/>
      <c r="P112" s="44"/>
      <c r="Q112" s="42">
        <v>4</v>
      </c>
      <c r="R112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15</v>
      </c>
    </row>
    <row r="113" spans="2:18" x14ac:dyDescent="0.2">
      <c r="B113" s="22" t="s">
        <v>220</v>
      </c>
      <c r="C113" s="23" t="s">
        <v>221</v>
      </c>
      <c r="D113" s="24">
        <f>Tabla134613212939475563717987951031111191271351431511351591671751831911591671751992072152232312392472552632712792872953033113193273353413493573653733811321[[#This Row],[STOCK]]</f>
        <v>547</v>
      </c>
      <c r="E113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529</v>
      </c>
      <c r="F113" s="23"/>
      <c r="G113" s="24">
        <v>3</v>
      </c>
      <c r="H113" s="39"/>
      <c r="I113" s="40">
        <v>3</v>
      </c>
      <c r="J113" s="41"/>
      <c r="K113" s="39">
        <v>6</v>
      </c>
      <c r="L113" s="40"/>
      <c r="M113" s="41">
        <v>2</v>
      </c>
      <c r="N113" s="39"/>
      <c r="O113" s="40"/>
      <c r="P113" s="41"/>
      <c r="Q113" s="39">
        <v>4</v>
      </c>
      <c r="R113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18</v>
      </c>
    </row>
    <row r="114" spans="2:18" x14ac:dyDescent="0.2">
      <c r="B114" s="29" t="s">
        <v>222</v>
      </c>
      <c r="C114" s="30" t="s">
        <v>223</v>
      </c>
      <c r="D114" s="31">
        <f>Tabla134613212939475563717987951031111191271351431511351591671751831911591671751992072152232312392472552632712792872953033113193273353413493573653733811321[[#This Row],[STOCK]]</f>
        <v>203</v>
      </c>
      <c r="E114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255</v>
      </c>
      <c r="F114" s="30"/>
      <c r="G114" s="31">
        <v>3</v>
      </c>
      <c r="H114" s="42"/>
      <c r="I114" s="43"/>
      <c r="J114" s="44"/>
      <c r="K114" s="42">
        <v>5</v>
      </c>
      <c r="L114" s="43"/>
      <c r="M114" s="44"/>
      <c r="N114" s="42"/>
      <c r="O114" s="43"/>
      <c r="P114" s="44">
        <v>64</v>
      </c>
      <c r="Q114" s="42">
        <v>4</v>
      </c>
      <c r="R114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12</v>
      </c>
    </row>
    <row r="115" spans="2:18" x14ac:dyDescent="0.2">
      <c r="B115" s="22" t="s">
        <v>224</v>
      </c>
      <c r="C115" s="23" t="s">
        <v>225</v>
      </c>
      <c r="D115" s="24">
        <f>Tabla134613212939475563717987951031111191271351431511351591671751831911591671751992072152232312392472552632712792872953033113193273353413493573653733811321[[#This Row],[STOCK]]</f>
        <v>452</v>
      </c>
      <c r="E115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445</v>
      </c>
      <c r="F115" s="23"/>
      <c r="G115" s="24"/>
      <c r="H115" s="39"/>
      <c r="I115" s="40"/>
      <c r="J115" s="41"/>
      <c r="K115" s="39">
        <v>5</v>
      </c>
      <c r="L115" s="40"/>
      <c r="M115" s="41">
        <v>2</v>
      </c>
      <c r="N115" s="39"/>
      <c r="O115" s="40"/>
      <c r="P115" s="41"/>
      <c r="Q115" s="39"/>
      <c r="R115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7</v>
      </c>
    </row>
    <row r="116" spans="2:18" x14ac:dyDescent="0.2">
      <c r="B116" s="29" t="s">
        <v>226</v>
      </c>
      <c r="C116" s="30" t="s">
        <v>227</v>
      </c>
      <c r="D116" s="31">
        <f>Tabla134613212939475563717987951031111191271351431511351591671751831911591671751992072152232312392472552632712792872953033113193273353413493573653733811321[[#This Row],[STOCK]]</f>
        <v>179</v>
      </c>
      <c r="E116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176</v>
      </c>
      <c r="F116" s="30"/>
      <c r="G116" s="31"/>
      <c r="H116" s="42"/>
      <c r="I116" s="43"/>
      <c r="J116" s="44"/>
      <c r="K116" s="42">
        <v>3</v>
      </c>
      <c r="L116" s="43"/>
      <c r="M116" s="44"/>
      <c r="N116" s="42"/>
      <c r="O116" s="43"/>
      <c r="P116" s="44"/>
      <c r="Q116" s="42"/>
      <c r="R116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3</v>
      </c>
    </row>
    <row r="117" spans="2:18" x14ac:dyDescent="0.2">
      <c r="B117" s="22" t="s">
        <v>228</v>
      </c>
      <c r="C117" s="23" t="s">
        <v>229</v>
      </c>
      <c r="D117" s="24">
        <f>Tabla134613212939475563717987951031111191271351431511351591671751831911591671751992072152232312392472552632712792872953033113193273353413493573653733811321[[#This Row],[STOCK]]</f>
        <v>428</v>
      </c>
      <c r="E117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427</v>
      </c>
      <c r="F117" s="23"/>
      <c r="G117" s="24"/>
      <c r="H117" s="39"/>
      <c r="I117" s="40"/>
      <c r="J117" s="41"/>
      <c r="K117" s="39">
        <v>1</v>
      </c>
      <c r="L117" s="40"/>
      <c r="M117" s="41"/>
      <c r="N117" s="39"/>
      <c r="O117" s="40"/>
      <c r="P117" s="41"/>
      <c r="Q117" s="39"/>
      <c r="R117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</v>
      </c>
    </row>
    <row r="118" spans="2:18" x14ac:dyDescent="0.2">
      <c r="B118" s="29" t="s">
        <v>230</v>
      </c>
      <c r="C118" s="30" t="s">
        <v>231</v>
      </c>
      <c r="D118" s="31">
        <f>Tabla134613212939475563717987951031111191271351431511351591671751831911591671751992072152232312392472552632712792872953033113193273353413493573653733811321[[#This Row],[STOCK]]</f>
        <v>303</v>
      </c>
      <c r="E118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293</v>
      </c>
      <c r="F118" s="30"/>
      <c r="G118" s="31"/>
      <c r="H118" s="42"/>
      <c r="I118" s="43">
        <v>2</v>
      </c>
      <c r="J118" s="44"/>
      <c r="K118" s="42">
        <v>8</v>
      </c>
      <c r="L118" s="43"/>
      <c r="M118" s="44"/>
      <c r="N118" s="42"/>
      <c r="O118" s="43"/>
      <c r="P118" s="44"/>
      <c r="Q118" s="42"/>
      <c r="R118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10</v>
      </c>
    </row>
    <row r="119" spans="2:18" ht="12" customHeight="1" x14ac:dyDescent="0.2">
      <c r="B119" s="22" t="s">
        <v>232</v>
      </c>
      <c r="C119" s="23" t="s">
        <v>233</v>
      </c>
      <c r="D119" s="24">
        <f>Tabla134613212939475563717987951031111191271351431511351591671751831911591671751992072152232312392472552632712792872953033113193273353413493573653733811321[[#This Row],[STOCK]]</f>
        <v>262</v>
      </c>
      <c r="E119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259</v>
      </c>
      <c r="F119" s="23"/>
      <c r="G119" s="24"/>
      <c r="H119" s="39"/>
      <c r="I119" s="40">
        <v>2</v>
      </c>
      <c r="J119" s="41"/>
      <c r="K119" s="39">
        <v>1</v>
      </c>
      <c r="L119" s="40"/>
      <c r="M119" s="41"/>
      <c r="N119" s="39"/>
      <c r="O119" s="40"/>
      <c r="P119" s="41"/>
      <c r="Q119" s="39"/>
      <c r="R119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3</v>
      </c>
    </row>
    <row r="120" spans="2:18" ht="13.5" customHeight="1" x14ac:dyDescent="0.2">
      <c r="B120" s="29" t="s">
        <v>234</v>
      </c>
      <c r="C120" s="30" t="s">
        <v>235</v>
      </c>
      <c r="D120" s="31">
        <f>Tabla134613212939475563717987951031111191271351431511351591671751831911591671751992072152232312392472552632712792872953033113193273353413493573653733811321[[#This Row],[STOCK]]</f>
        <v>439</v>
      </c>
      <c r="E120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643</v>
      </c>
      <c r="F120" s="30"/>
      <c r="G120" s="31">
        <v>11</v>
      </c>
      <c r="H120" s="42">
        <v>60</v>
      </c>
      <c r="I120" s="43">
        <v>3</v>
      </c>
      <c r="J120" s="44"/>
      <c r="K120" s="42">
        <v>22</v>
      </c>
      <c r="L120" s="43"/>
      <c r="M120" s="44"/>
      <c r="N120" s="42"/>
      <c r="O120" s="43"/>
      <c r="P120" s="44">
        <v>181</v>
      </c>
      <c r="Q120" s="42">
        <v>1</v>
      </c>
      <c r="R120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37</v>
      </c>
    </row>
    <row r="121" spans="2:18" x14ac:dyDescent="0.2">
      <c r="B121" s="22" t="s">
        <v>236</v>
      </c>
      <c r="C121" s="23" t="s">
        <v>237</v>
      </c>
      <c r="D121" s="24">
        <f>Tabla134613212939475563717987951031111191271351431511351591671751831911591671751992072152232312392472552632712792872953033113193273353413493573653733811321[[#This Row],[STOCK]]</f>
        <v>640</v>
      </c>
      <c r="E121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838</v>
      </c>
      <c r="F121" s="23">
        <v>60</v>
      </c>
      <c r="G121" s="24">
        <v>15</v>
      </c>
      <c r="H121" s="39">
        <v>70</v>
      </c>
      <c r="I121" s="40">
        <v>15</v>
      </c>
      <c r="J121" s="41">
        <v>122</v>
      </c>
      <c r="K121" s="39">
        <v>18</v>
      </c>
      <c r="L121" s="40"/>
      <c r="M121" s="41">
        <v>5</v>
      </c>
      <c r="N121" s="39"/>
      <c r="O121" s="40"/>
      <c r="P121" s="41"/>
      <c r="Q121" s="39">
        <v>1</v>
      </c>
      <c r="R121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54</v>
      </c>
    </row>
    <row r="122" spans="2:18" x14ac:dyDescent="0.2">
      <c r="B122" s="29" t="s">
        <v>238</v>
      </c>
      <c r="C122" s="30" t="s">
        <v>239</v>
      </c>
      <c r="D122" s="31">
        <f>Tabla134613212939475563717987951031111191271351431511351591671751831911591671751992072152232312392472552632712792872953033113193273353413493573653733811321[[#This Row],[STOCK]]</f>
        <v>870</v>
      </c>
      <c r="E122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828</v>
      </c>
      <c r="F122" s="30"/>
      <c r="G122" s="31">
        <v>8</v>
      </c>
      <c r="H122" s="42"/>
      <c r="I122" s="43">
        <v>15</v>
      </c>
      <c r="J122" s="44"/>
      <c r="K122" s="42">
        <v>18</v>
      </c>
      <c r="L122" s="43"/>
      <c r="M122" s="44"/>
      <c r="N122" s="42"/>
      <c r="O122" s="43"/>
      <c r="P122" s="44"/>
      <c r="Q122" s="42">
        <v>1</v>
      </c>
      <c r="R122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42</v>
      </c>
    </row>
    <row r="123" spans="2:18" x14ac:dyDescent="0.2">
      <c r="B123" s="22" t="s">
        <v>240</v>
      </c>
      <c r="C123" s="23" t="s">
        <v>241</v>
      </c>
      <c r="D123" s="24">
        <f>Tabla134613212939475563717987951031111191271351431511351591671751831911591671751992072152232312392472552632712792872953033113193273353413493573653733811321[[#This Row],[STOCK]]</f>
        <v>387</v>
      </c>
      <c r="E123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383</v>
      </c>
      <c r="F123" s="23"/>
      <c r="G123" s="24"/>
      <c r="H123" s="39"/>
      <c r="I123" s="40"/>
      <c r="J123" s="41"/>
      <c r="K123" s="39">
        <v>4</v>
      </c>
      <c r="L123" s="40"/>
      <c r="M123" s="41"/>
      <c r="N123" s="39"/>
      <c r="O123" s="40"/>
      <c r="P123" s="41"/>
      <c r="Q123" s="39"/>
      <c r="R123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4</v>
      </c>
    </row>
    <row r="124" spans="2:18" x14ac:dyDescent="0.2">
      <c r="B124" s="29" t="s">
        <v>242</v>
      </c>
      <c r="C124" s="30" t="s">
        <v>243</v>
      </c>
      <c r="D124" s="31">
        <f>Tabla134613212939475563717987951031111191271351431511351591671751831911591671751992072152232312392472552632712792872953033113193273353413493573653733811321[[#This Row],[STOCK]]</f>
        <v>359</v>
      </c>
      <c r="E124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355</v>
      </c>
      <c r="F124" s="30"/>
      <c r="G124" s="31"/>
      <c r="H124" s="42"/>
      <c r="I124" s="43"/>
      <c r="J124" s="44"/>
      <c r="K124" s="42">
        <v>4</v>
      </c>
      <c r="L124" s="43"/>
      <c r="M124" s="44"/>
      <c r="N124" s="42"/>
      <c r="O124" s="43"/>
      <c r="P124" s="44"/>
      <c r="Q124" s="42"/>
      <c r="R124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4</v>
      </c>
    </row>
    <row r="125" spans="2:18" x14ac:dyDescent="0.2">
      <c r="B125" s="22" t="s">
        <v>244</v>
      </c>
      <c r="C125" s="23" t="s">
        <v>245</v>
      </c>
      <c r="D125" s="24">
        <f>Tabla134613212939475563717987951031111191271351431511351591671751831911591671751992072152232312392472552632712792872953033113193273353413493573653733811321[[#This Row],[STOCK]]</f>
        <v>541</v>
      </c>
      <c r="E125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539</v>
      </c>
      <c r="F125" s="23"/>
      <c r="G125" s="24"/>
      <c r="H125" s="39"/>
      <c r="I125" s="40"/>
      <c r="J125" s="41"/>
      <c r="K125" s="39">
        <v>2</v>
      </c>
      <c r="L125" s="40"/>
      <c r="M125" s="41"/>
      <c r="N125" s="39"/>
      <c r="O125" s="40"/>
      <c r="P125" s="41"/>
      <c r="Q125" s="39"/>
      <c r="R125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2</v>
      </c>
    </row>
    <row r="126" spans="2:18" x14ac:dyDescent="0.2">
      <c r="B126" s="29" t="s">
        <v>246</v>
      </c>
      <c r="C126" s="30" t="s">
        <v>247</v>
      </c>
      <c r="D126" s="31">
        <f>Tabla134613212939475563717987951031111191271351431511351591671751831911591671751992072152232312392472552632712792872953033113193273353413493573653733811321[[#This Row],[STOCK]]</f>
        <v>428</v>
      </c>
      <c r="E126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426</v>
      </c>
      <c r="F126" s="30"/>
      <c r="G126" s="31"/>
      <c r="H126" s="42"/>
      <c r="I126" s="43"/>
      <c r="J126" s="44"/>
      <c r="K126" s="42">
        <v>2</v>
      </c>
      <c r="L126" s="43"/>
      <c r="M126" s="44"/>
      <c r="N126" s="42"/>
      <c r="O126" s="43"/>
      <c r="P126" s="44"/>
      <c r="Q126" s="42"/>
      <c r="R126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2</v>
      </c>
    </row>
    <row r="127" spans="2:18" x14ac:dyDescent="0.2">
      <c r="B127" s="22" t="s">
        <v>248</v>
      </c>
      <c r="C127" s="23" t="s">
        <v>249</v>
      </c>
      <c r="D127" s="24">
        <f>Tabla134613212939475563717987951031111191271351431511351591671751831911591671751992072152232312392472552632712792872953033113193273353413493573653733811321[[#This Row],[STOCK]]</f>
        <v>366</v>
      </c>
      <c r="E127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364</v>
      </c>
      <c r="F127" s="23"/>
      <c r="G127" s="24"/>
      <c r="H127" s="39"/>
      <c r="I127" s="40"/>
      <c r="J127" s="41"/>
      <c r="K127" s="39">
        <v>2</v>
      </c>
      <c r="L127" s="40"/>
      <c r="M127" s="41"/>
      <c r="N127" s="39"/>
      <c r="O127" s="40"/>
      <c r="P127" s="41"/>
      <c r="Q127" s="39"/>
      <c r="R127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2</v>
      </c>
    </row>
    <row r="128" spans="2:18" x14ac:dyDescent="0.2">
      <c r="B128" s="29" t="s">
        <v>250</v>
      </c>
      <c r="C128" s="30" t="s">
        <v>251</v>
      </c>
      <c r="D128" s="31">
        <f>Tabla134613212939475563717987951031111191271351431511351591671751831911591671751992072152232312392472552632712792872953033113193273353413493573653733811321[[#This Row],[STOCK]]</f>
        <v>506</v>
      </c>
      <c r="E128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504</v>
      </c>
      <c r="F128" s="30"/>
      <c r="G128" s="31"/>
      <c r="H128" s="42"/>
      <c r="I128" s="43"/>
      <c r="J128" s="44"/>
      <c r="K128" s="42">
        <v>2</v>
      </c>
      <c r="L128" s="43"/>
      <c r="M128" s="44"/>
      <c r="N128" s="42"/>
      <c r="O128" s="43"/>
      <c r="P128" s="44"/>
      <c r="Q128" s="42"/>
      <c r="R128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2</v>
      </c>
    </row>
    <row r="129" spans="2:18" x14ac:dyDescent="0.2">
      <c r="B129" s="22" t="s">
        <v>252</v>
      </c>
      <c r="C129" s="23" t="s">
        <v>253</v>
      </c>
      <c r="D129" s="24">
        <f>Tabla134613212939475563717987951031111191271351431511351591671751831911591671751992072152232312392472552632712792872953033113193273353413493573653733811321[[#This Row],[STOCK]]</f>
        <v>549</v>
      </c>
      <c r="E129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586</v>
      </c>
      <c r="F129" s="23">
        <v>56</v>
      </c>
      <c r="G129" s="24">
        <v>2</v>
      </c>
      <c r="H129" s="39"/>
      <c r="I129" s="40"/>
      <c r="J129" s="41"/>
      <c r="K129" s="39">
        <v>14</v>
      </c>
      <c r="L129" s="40"/>
      <c r="M129" s="41">
        <v>2</v>
      </c>
      <c r="N129" s="39"/>
      <c r="O129" s="40"/>
      <c r="P129" s="41"/>
      <c r="Q129" s="39">
        <v>1</v>
      </c>
      <c r="R129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19</v>
      </c>
    </row>
    <row r="130" spans="2:18" x14ac:dyDescent="0.2">
      <c r="B130" s="29" t="s">
        <v>254</v>
      </c>
      <c r="C130" s="30" t="s">
        <v>255</v>
      </c>
      <c r="D130" s="31">
        <f>Tabla134613212939475563717987951031111191271351431511351591671751831911591671751992072152232312392472552632712792872953033113193273353413493573653733811321[[#This Row],[STOCK]]</f>
        <v>288</v>
      </c>
      <c r="E130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266</v>
      </c>
      <c r="F130" s="30"/>
      <c r="G130" s="31">
        <v>1</v>
      </c>
      <c r="H130" s="42"/>
      <c r="I130" s="43"/>
      <c r="J130" s="44"/>
      <c r="K130" s="42">
        <v>18</v>
      </c>
      <c r="L130" s="43"/>
      <c r="M130" s="44">
        <v>2</v>
      </c>
      <c r="N130" s="42"/>
      <c r="O130" s="43"/>
      <c r="P130" s="44"/>
      <c r="Q130" s="42">
        <v>1</v>
      </c>
      <c r="R130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22</v>
      </c>
    </row>
    <row r="131" spans="2:18" x14ac:dyDescent="0.2">
      <c r="B131" s="22" t="s">
        <v>256</v>
      </c>
      <c r="C131" s="23" t="s">
        <v>257</v>
      </c>
      <c r="D131" s="24">
        <f>Tabla134613212939475563717987951031111191271351431511351591671751831911591671751992072152232312392472552632712792872953033113193273353413493573653733811321[[#This Row],[STOCK]]</f>
        <v>482</v>
      </c>
      <c r="E131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471</v>
      </c>
      <c r="F131" s="23"/>
      <c r="G131" s="24">
        <v>5</v>
      </c>
      <c r="H131" s="39"/>
      <c r="I131" s="40"/>
      <c r="J131" s="41"/>
      <c r="K131" s="39">
        <v>3</v>
      </c>
      <c r="L131" s="40"/>
      <c r="M131" s="41">
        <v>2</v>
      </c>
      <c r="N131" s="39"/>
      <c r="O131" s="40"/>
      <c r="P131" s="41"/>
      <c r="Q131" s="39">
        <v>1</v>
      </c>
      <c r="R131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11</v>
      </c>
    </row>
    <row r="132" spans="2:18" x14ac:dyDescent="0.2">
      <c r="B132" s="29" t="s">
        <v>258</v>
      </c>
      <c r="C132" s="30" t="s">
        <v>259</v>
      </c>
      <c r="D132" s="31">
        <f>Tabla134613212939475563717987951031111191271351431511351591671751831911591671751992072152232312392472552632712792872953033113193273353413493573653733811321[[#This Row],[STOCK]]</f>
        <v>175</v>
      </c>
      <c r="E132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236</v>
      </c>
      <c r="F132" s="30"/>
      <c r="G132" s="31">
        <v>4</v>
      </c>
      <c r="H132" s="42"/>
      <c r="I132" s="43"/>
      <c r="J132" s="44">
        <v>74</v>
      </c>
      <c r="K132" s="42">
        <v>6</v>
      </c>
      <c r="L132" s="43"/>
      <c r="M132" s="44">
        <v>2</v>
      </c>
      <c r="N132" s="42"/>
      <c r="O132" s="43"/>
      <c r="P132" s="44"/>
      <c r="Q132" s="42">
        <v>1</v>
      </c>
      <c r="R132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13</v>
      </c>
    </row>
    <row r="133" spans="2:18" x14ac:dyDescent="0.2">
      <c r="B133" s="22" t="s">
        <v>260</v>
      </c>
      <c r="C133" s="23" t="s">
        <v>261</v>
      </c>
      <c r="D133" s="24">
        <f>Tabla134613212939475563717987951031111191271351431511351591671751831911591671751992072152232312392472552632712792872953033113193273353413493573653733811321[[#This Row],[STOCK]]</f>
        <v>163</v>
      </c>
      <c r="E133" s="25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147</v>
      </c>
      <c r="F133" s="23"/>
      <c r="G133" s="24">
        <v>7</v>
      </c>
      <c r="H133" s="39"/>
      <c r="I133" s="40"/>
      <c r="J133" s="41"/>
      <c r="K133" s="39">
        <v>6</v>
      </c>
      <c r="L133" s="40"/>
      <c r="M133" s="41">
        <v>2</v>
      </c>
      <c r="N133" s="39"/>
      <c r="O133" s="40"/>
      <c r="P133" s="41"/>
      <c r="Q133" s="39">
        <v>1</v>
      </c>
      <c r="R133" s="23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16</v>
      </c>
    </row>
    <row r="134" spans="2:18" x14ac:dyDescent="0.2">
      <c r="B134" s="29" t="s">
        <v>262</v>
      </c>
      <c r="C134" s="30" t="s">
        <v>263</v>
      </c>
      <c r="D134" s="31">
        <f>Tabla134613212939475563717987951031111191271351431511351591671751831911591671751992072152232312392472552632712792872953033113193273353413493573653733811321[[#This Row],[STOCK]]</f>
        <v>498</v>
      </c>
      <c r="E134" s="32">
        <f>Tabla13461321293947556371798795103111119127135143151135159167175183191159167175199207215223231239247255263271279287295303311319327335341349357365373381132129[[#This Row],[INVENTARIO INICIAL]]+Tabla13461321293947556371798795103111119127135143151135159167175183191159167175199207215223231239247255263271279287295303311319327335341349357365373381132129[[#This Row],[INGRESO LUNES]]-Tabla13461321293947556371798795103111119127135143151135159167175183191159167175199207215223231239247255263271279287295303311319327335341349357365373381132129[[#This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Row],[INGRESO MARTES]]-Tabla13461321293947556371798795103111119127135143151135159167175183191159167175199207215223231239247255263271279287295303311319327335341349357365373381132129[[#This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Row],[INGRESO MIERCOLES]]-Tabla13461321293947556371798795103111119127135143151135159167175183191159167175199207215223231239247255263271279287295303311319327335341349357365373381132129[[#This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Row],[INGRESO JUEVES]]-Tabla13461321293947556371798795103111119127135143151135159167175183191159167175199207215223231239247255263271279287295303311319327335341349357365373381132129[[#This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Row],[INGRESO VIERNES]]-Tabla13461321293947556371798795103111119127135143151135159167175183191159167175199207215223231239247255263271279287295303311319327335341349357365373381132129[[#This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 INGRESO SABADO]]-Tabla13461321293947556371798795103111119127135143151135159167175183191159167175199207215223231239247255263271279287295303311319327335341349357365373381132129[[#This Row],[VENTA SABADO]]</f>
        <v>557</v>
      </c>
      <c r="F134" s="30"/>
      <c r="G134" s="31">
        <v>6</v>
      </c>
      <c r="H134" s="42"/>
      <c r="I134" s="43"/>
      <c r="J134" s="44"/>
      <c r="K134" s="42">
        <v>6</v>
      </c>
      <c r="L134" s="43"/>
      <c r="M134" s="44">
        <v>2</v>
      </c>
      <c r="N134" s="42"/>
      <c r="O134" s="43"/>
      <c r="P134" s="44">
        <v>74</v>
      </c>
      <c r="Q134" s="42">
        <v>1</v>
      </c>
      <c r="R134" s="30">
        <f>Tabla13461321293947556371798795103111119127135143151135159167175183191159167175199207215223231239247255263271279287295303311319327335341349357365373381132129[[#This Row],[VENTA LUNES]]+Tabla13461321293947556371798795103111119127135143151135159167175183191159167175199207215223231239247255263271279287295303311319327335341349357365373381132129[[#This Row],[VENTA MARTES]]+Tabla13461321293947556371798795103111119127135143151135159167175183191159167175199207215223231239247255263271279287295303311319327335341349357365373381132129[[#This Row],[VENTA MIERCOLES]]+Tabla13461321293947556371798795103111119127135143151135159167175183191159167175199207215223231239247255263271279287295303311319327335341349357365373381132129[[#This Row],[VENTA JUEVES]]+Tabla13461321293947556371798795103111119127135143151135159167175183191159167175199207215223231239247255263271279287295303311319327335341349357365373381132129[[#This Row],[VENTA VIERNES]]+Tabla13461321293947556371798795103111119127135143151135159167175183191159167175199207215223231239247255263271279287295303311319327335341349357365373381132129[[#This Row],[VENTA SABADO]]</f>
        <v>15</v>
      </c>
    </row>
    <row r="136" spans="2:18" s="54" customFormat="1" ht="38.25" x14ac:dyDescent="0.2">
      <c r="B136" s="17" t="s">
        <v>264</v>
      </c>
      <c r="C136" s="17" t="s">
        <v>5</v>
      </c>
      <c r="D136" s="17" t="s">
        <v>6</v>
      </c>
      <c r="E136" s="37" t="s">
        <v>7</v>
      </c>
      <c r="F136" s="17" t="s">
        <v>8</v>
      </c>
      <c r="G136" s="17" t="s">
        <v>51</v>
      </c>
      <c r="H136" s="17" t="s">
        <v>10</v>
      </c>
      <c r="I136" s="17" t="s">
        <v>11</v>
      </c>
      <c r="J136" s="17" t="s">
        <v>12</v>
      </c>
      <c r="K136" s="17" t="s">
        <v>13</v>
      </c>
      <c r="L136" s="17" t="s">
        <v>14</v>
      </c>
      <c r="M136" s="17" t="s">
        <v>15</v>
      </c>
      <c r="N136" s="17" t="s">
        <v>16</v>
      </c>
      <c r="O136" s="17" t="s">
        <v>17</v>
      </c>
      <c r="P136" s="17" t="s">
        <v>18</v>
      </c>
      <c r="Q136" s="17" t="s">
        <v>19</v>
      </c>
      <c r="R136" s="17" t="s">
        <v>20</v>
      </c>
    </row>
    <row r="137" spans="2:18" x14ac:dyDescent="0.2">
      <c r="B137" s="22" t="s">
        <v>216</v>
      </c>
      <c r="C137" s="23" t="s">
        <v>265</v>
      </c>
      <c r="D137" s="24">
        <f>Tabla1346714223040485664728088961041121201281361441521361601681761841921601681762002082162242322402482562642722802882963043123203283363423503583663743821422[[#This Row],[STOCK]]</f>
        <v>542</v>
      </c>
      <c r="E137" s="25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532</v>
      </c>
      <c r="F137" s="23"/>
      <c r="G137" s="24"/>
      <c r="H137" s="39"/>
      <c r="I137" s="40"/>
      <c r="J137" s="41"/>
      <c r="K137" s="39">
        <v>9</v>
      </c>
      <c r="L137" s="40"/>
      <c r="M137" s="41"/>
      <c r="N137" s="39"/>
      <c r="O137" s="40"/>
      <c r="P137" s="41"/>
      <c r="Q137" s="39">
        <v>1</v>
      </c>
      <c r="R137" s="23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10</v>
      </c>
    </row>
    <row r="138" spans="2:18" x14ac:dyDescent="0.2">
      <c r="B138" s="29" t="s">
        <v>218</v>
      </c>
      <c r="C138" s="30" t="s">
        <v>266</v>
      </c>
      <c r="D138" s="31">
        <f>Tabla1346714223040485664728088961041121201281361441521361601681761841921601681762002082162242322402482562642722802882963043123203283363423503583663743821422[[#This Row],[STOCK]]</f>
        <v>370</v>
      </c>
      <c r="E138" s="32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366</v>
      </c>
      <c r="F138" s="30"/>
      <c r="G138" s="31"/>
      <c r="H138" s="42"/>
      <c r="I138" s="43"/>
      <c r="J138" s="44"/>
      <c r="K138" s="42">
        <v>3</v>
      </c>
      <c r="L138" s="43"/>
      <c r="M138" s="44"/>
      <c r="N138" s="42"/>
      <c r="O138" s="43"/>
      <c r="P138" s="44"/>
      <c r="Q138" s="42">
        <v>1</v>
      </c>
      <c r="R138" s="30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4</v>
      </c>
    </row>
    <row r="139" spans="2:18" x14ac:dyDescent="0.2">
      <c r="B139" s="22" t="s">
        <v>267</v>
      </c>
      <c r="C139" s="23" t="s">
        <v>268</v>
      </c>
      <c r="D139" s="24">
        <f>Tabla1346714223040485664728088961041121201281361441521361601681761841921601681762002082162242322402482562642722802882963043123203283363423503583663743821422[[#This Row],[STOCK]]</f>
        <v>125</v>
      </c>
      <c r="E139" s="25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119</v>
      </c>
      <c r="F139" s="23"/>
      <c r="G139" s="24"/>
      <c r="H139" s="39"/>
      <c r="I139" s="40"/>
      <c r="J139" s="41"/>
      <c r="K139" s="39">
        <v>5</v>
      </c>
      <c r="L139" s="40"/>
      <c r="M139" s="41"/>
      <c r="N139" s="39"/>
      <c r="O139" s="40"/>
      <c r="P139" s="41"/>
      <c r="Q139" s="39">
        <v>1</v>
      </c>
      <c r="R139" s="23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6</v>
      </c>
    </row>
    <row r="140" spans="2:18" x14ac:dyDescent="0.2">
      <c r="B140" s="29" t="s">
        <v>269</v>
      </c>
      <c r="C140" s="30" t="s">
        <v>270</v>
      </c>
      <c r="D140" s="31">
        <f>Tabla1346714223040485664728088961041121201281361441521361601681761841921601681762002082162242322402482562642722802882963043123203283363423503583663743821422[[#This Row],[STOCK]]</f>
        <v>741</v>
      </c>
      <c r="E140" s="32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738</v>
      </c>
      <c r="F140" s="30"/>
      <c r="G140" s="31"/>
      <c r="H140" s="42"/>
      <c r="I140" s="43"/>
      <c r="J140" s="44"/>
      <c r="K140" s="42">
        <v>2</v>
      </c>
      <c r="L140" s="43"/>
      <c r="M140" s="44"/>
      <c r="N140" s="42"/>
      <c r="O140" s="43"/>
      <c r="P140" s="44"/>
      <c r="Q140" s="42">
        <v>1</v>
      </c>
      <c r="R140" s="30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3</v>
      </c>
    </row>
    <row r="141" spans="2:18" x14ac:dyDescent="0.2">
      <c r="B141" s="22" t="s">
        <v>224</v>
      </c>
      <c r="C141" s="23" t="s">
        <v>271</v>
      </c>
      <c r="D141" s="24">
        <f>Tabla1346714223040485664728088961041121201281361441521361601681761841921601681762002082162242322402482562642722802882963043123203283363423503583663743821422[[#This Row],[STOCK]]</f>
        <v>300</v>
      </c>
      <c r="E141" s="25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296</v>
      </c>
      <c r="F141" s="23"/>
      <c r="G141" s="24"/>
      <c r="H141" s="39"/>
      <c r="I141" s="40"/>
      <c r="J141" s="41"/>
      <c r="K141" s="39">
        <v>4</v>
      </c>
      <c r="L141" s="40"/>
      <c r="M141" s="41"/>
      <c r="N141" s="39"/>
      <c r="O141" s="40"/>
      <c r="P141" s="41"/>
      <c r="Q141" s="39"/>
      <c r="R141" s="23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4</v>
      </c>
    </row>
    <row r="142" spans="2:18" x14ac:dyDescent="0.2">
      <c r="B142" s="29" t="s">
        <v>272</v>
      </c>
      <c r="C142" s="30" t="s">
        <v>273</v>
      </c>
      <c r="D142" s="31">
        <f>Tabla1346714223040485664728088961041121201281361441521361601681761841921601681762002082162242322402482562642722802882963043123203283363423503583663743821422[[#This Row],[STOCK]]</f>
        <v>491</v>
      </c>
      <c r="E142" s="32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489</v>
      </c>
      <c r="F142" s="30"/>
      <c r="G142" s="31"/>
      <c r="H142" s="42"/>
      <c r="I142" s="43"/>
      <c r="J142" s="44"/>
      <c r="K142" s="42">
        <v>2</v>
      </c>
      <c r="L142" s="43"/>
      <c r="M142" s="44"/>
      <c r="N142" s="42"/>
      <c r="O142" s="43"/>
      <c r="P142" s="44"/>
      <c r="Q142" s="42"/>
      <c r="R142" s="30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2</v>
      </c>
    </row>
    <row r="143" spans="2:18" x14ac:dyDescent="0.2">
      <c r="B143" s="22" t="s">
        <v>204</v>
      </c>
      <c r="C143" s="23" t="s">
        <v>274</v>
      </c>
      <c r="D143" s="24">
        <f>Tabla1346714223040485664728088961041121201281361441521361601681761841921601681762002082162242322402482562642722802882963043123203283363423503583663743821422[[#This Row],[STOCK]]</f>
        <v>304</v>
      </c>
      <c r="E143" s="25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304</v>
      </c>
      <c r="F143" s="23"/>
      <c r="G143" s="24"/>
      <c r="H143" s="39"/>
      <c r="I143" s="40"/>
      <c r="J143" s="41"/>
      <c r="K143" s="39"/>
      <c r="L143" s="40"/>
      <c r="M143" s="41"/>
      <c r="N143" s="39"/>
      <c r="O143" s="40"/>
      <c r="P143" s="41"/>
      <c r="Q143" s="39"/>
      <c r="R143" s="23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0</v>
      </c>
    </row>
    <row r="144" spans="2:18" x14ac:dyDescent="0.2">
      <c r="B144" s="29" t="s">
        <v>206</v>
      </c>
      <c r="C144" s="30" t="s">
        <v>275</v>
      </c>
      <c r="D144" s="31">
        <f>Tabla1346714223040485664728088961041121201281361441521361601681761841921601681762002082162242322402482562642722802882963043123203283363423503583663743821422[[#This Row],[STOCK]]</f>
        <v>351</v>
      </c>
      <c r="E144" s="32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351</v>
      </c>
      <c r="F144" s="30"/>
      <c r="G144" s="31"/>
      <c r="H144" s="42"/>
      <c r="I144" s="43"/>
      <c r="J144" s="44"/>
      <c r="K144" s="42"/>
      <c r="L144" s="43"/>
      <c r="M144" s="44"/>
      <c r="N144" s="42"/>
      <c r="O144" s="43"/>
      <c r="P144" s="44"/>
      <c r="Q144" s="42"/>
      <c r="R144" s="30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0</v>
      </c>
    </row>
    <row r="145" spans="1:18" x14ac:dyDescent="0.2">
      <c r="B145" s="22" t="s">
        <v>276</v>
      </c>
      <c r="C145" s="23" t="s">
        <v>277</v>
      </c>
      <c r="D145" s="24">
        <f>Tabla1346714223040485664728088961041121201281361441521361601681761841921601681762002082162242322402482562642722802882963043123203283363423503583663743821422[[#This Row],[STOCK]]</f>
        <v>507</v>
      </c>
      <c r="E145" s="25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507</v>
      </c>
      <c r="F145" s="23"/>
      <c r="G145" s="24"/>
      <c r="H145" s="39"/>
      <c r="I145" s="40"/>
      <c r="J145" s="41"/>
      <c r="K145" s="39"/>
      <c r="L145" s="40"/>
      <c r="M145" s="41"/>
      <c r="N145" s="39"/>
      <c r="O145" s="40"/>
      <c r="P145" s="41"/>
      <c r="Q145" s="39"/>
      <c r="R145" s="23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0</v>
      </c>
    </row>
    <row r="146" spans="1:18" x14ac:dyDescent="0.2">
      <c r="B146" s="29" t="s">
        <v>278</v>
      </c>
      <c r="C146" s="30" t="s">
        <v>279</v>
      </c>
      <c r="D146" s="31">
        <f>Tabla1346714223040485664728088961041121201281361441521361601681761841921601681762002082162242322402482562642722802882963043123203283363423503583663743821422[[#This Row],[STOCK]]</f>
        <v>260</v>
      </c>
      <c r="E146" s="32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260</v>
      </c>
      <c r="F146" s="30"/>
      <c r="G146" s="31"/>
      <c r="H146" s="42"/>
      <c r="I146" s="43"/>
      <c r="J146" s="44"/>
      <c r="K146" s="42"/>
      <c r="L146" s="43"/>
      <c r="M146" s="44"/>
      <c r="N146" s="42"/>
      <c r="O146" s="43"/>
      <c r="P146" s="44"/>
      <c r="Q146" s="42"/>
      <c r="R146" s="30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0</v>
      </c>
    </row>
    <row r="147" spans="1:18" x14ac:dyDescent="0.2">
      <c r="B147" s="22" t="s">
        <v>280</v>
      </c>
      <c r="C147" s="23" t="s">
        <v>281</v>
      </c>
      <c r="D147" s="24">
        <f>Tabla1346714223040485664728088961041121201281361441521361601681761841921601681762002082162242322402482562642722802882963043123203283363423503583663743821422[[#This Row],[STOCK]]</f>
        <v>109</v>
      </c>
      <c r="E147" s="25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109</v>
      </c>
      <c r="F147" s="23"/>
      <c r="G147" s="24"/>
      <c r="H147" s="39"/>
      <c r="I147" s="40"/>
      <c r="J147" s="41"/>
      <c r="K147" s="39"/>
      <c r="L147" s="40"/>
      <c r="M147" s="41"/>
      <c r="N147" s="39"/>
      <c r="O147" s="40"/>
      <c r="P147" s="41"/>
      <c r="Q147" s="39"/>
      <c r="R147" s="23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0</v>
      </c>
    </row>
    <row r="148" spans="1:18" x14ac:dyDescent="0.2">
      <c r="B148" s="29" t="s">
        <v>214</v>
      </c>
      <c r="C148" s="30" t="s">
        <v>282</v>
      </c>
      <c r="D148" s="31">
        <f>Tabla1346714223040485664728088961041121201281361441521361601681761841921601681762002082162242322402482562642722802882963043123203283363423503583663743821422[[#This Row],[STOCK]]</f>
        <v>289</v>
      </c>
      <c r="E148" s="32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289</v>
      </c>
      <c r="F148" s="30"/>
      <c r="G148" s="31"/>
      <c r="H148" s="42"/>
      <c r="I148" s="43"/>
      <c r="J148" s="44"/>
      <c r="K148" s="42"/>
      <c r="L148" s="43"/>
      <c r="M148" s="44"/>
      <c r="N148" s="42"/>
      <c r="O148" s="43"/>
      <c r="P148" s="44"/>
      <c r="Q148" s="42"/>
      <c r="R148" s="30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0</v>
      </c>
    </row>
    <row r="149" spans="1:18" x14ac:dyDescent="0.2">
      <c r="B149" s="22" t="s">
        <v>283</v>
      </c>
      <c r="C149" s="23" t="s">
        <v>284</v>
      </c>
      <c r="D149" s="24">
        <f>Tabla1346714223040485664728088961041121201281361441521361601681761841921601681762002082162242322402482562642722802882963043123203283363423503583663743821422[[#This Row],[STOCK]]</f>
        <v>330</v>
      </c>
      <c r="E149" s="25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316</v>
      </c>
      <c r="F149" s="23"/>
      <c r="G149" s="24">
        <v>5</v>
      </c>
      <c r="H149" s="39"/>
      <c r="I149" s="40">
        <v>1</v>
      </c>
      <c r="J149" s="41"/>
      <c r="K149" s="39">
        <v>7</v>
      </c>
      <c r="L149" s="40"/>
      <c r="M149" s="41"/>
      <c r="N149" s="39"/>
      <c r="O149" s="40"/>
      <c r="P149" s="41"/>
      <c r="Q149" s="39">
        <v>1</v>
      </c>
      <c r="R149" s="23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14</v>
      </c>
    </row>
    <row r="150" spans="1:18" x14ac:dyDescent="0.2">
      <c r="A150" t="s">
        <v>285</v>
      </c>
      <c r="B150" s="29" t="s">
        <v>194</v>
      </c>
      <c r="C150" s="30" t="s">
        <v>286</v>
      </c>
      <c r="D150" s="31">
        <f>Tabla1346714223040485664728088961041121201281361441521361601681761841921601681762002082162242322402482562642722802882963043123203283363423503583663743821422[[#This Row],[STOCK]]</f>
        <v>464</v>
      </c>
      <c r="E150" s="32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446</v>
      </c>
      <c r="F150" s="30"/>
      <c r="G150" s="31">
        <v>7</v>
      </c>
      <c r="H150" s="42"/>
      <c r="I150" s="43">
        <v>3</v>
      </c>
      <c r="J150" s="44"/>
      <c r="K150" s="42">
        <v>7</v>
      </c>
      <c r="L150" s="43"/>
      <c r="M150" s="44"/>
      <c r="N150" s="42"/>
      <c r="O150" s="43"/>
      <c r="P150" s="44"/>
      <c r="Q150" s="42">
        <v>1</v>
      </c>
      <c r="R150" s="30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18</v>
      </c>
    </row>
    <row r="151" spans="1:18" x14ac:dyDescent="0.2">
      <c r="B151" s="22" t="s">
        <v>287</v>
      </c>
      <c r="C151" s="23" t="s">
        <v>288</v>
      </c>
      <c r="D151" s="24">
        <f>Tabla1346714223040485664728088961041121201281361441521361601681761841921601681762002082162242322402482562642722802882963043123203283363423503583663743821422[[#This Row],[STOCK]]</f>
        <v>509</v>
      </c>
      <c r="E151" s="25">
        <f>Tabla134671422304048566472808896104112120128136144152136160168176184192160168176200208216224232240248256264272280288296304312320328336342350358366374382142230[[#This Row],[INVENTARIO INICIAL]]+Tabla134671422304048566472808896104112120128136144152136160168176184192160168176200208216224232240248256264272280288296304312320328336342350358366374382142230[[#This Row],[INGRESO LUNES]]-Tabla134671422304048566472808896104112120128136144152136160168176184192160168176200208216224232240248256264272280288296304312320328336342350358366374382142230[[#This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Row],[INGRESO MARTES]]-Tabla134671422304048566472808896104112120128136144152136160168176184192160168176200208216224232240248256264272280288296304312320328336342350358366374382142230[[#This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Row],[INGRESO MIERCOLES]]-Tabla134671422304048566472808896104112120128136144152136160168176184192160168176200208216224232240248256264272280288296304312320328336342350358366374382142230[[#This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Row],[INGRESO JUEVES]]-Tabla134671422304048566472808896104112120128136144152136160168176184192160168176200208216224232240248256264272280288296304312320328336342350358366374382142230[[#This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Row],[INGRESO VIERNES]]-Tabla134671422304048566472808896104112120128136144152136160168176184192160168176200208216224232240248256264272280288296304312320328336342350358366374382142230[[#This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 INGRESO SABADO]]-Tabla134671422304048566472808896104112120128136144152136160168176184192160168176200208216224232240248256264272280288296304312320328336342350358366374382142230[[#This Row],[VENTA SABADO]]</f>
        <v>500</v>
      </c>
      <c r="F151" s="23"/>
      <c r="G151" s="24">
        <v>7</v>
      </c>
      <c r="H151" s="39"/>
      <c r="I151" s="40"/>
      <c r="J151" s="41"/>
      <c r="K151" s="39">
        <v>2</v>
      </c>
      <c r="L151" s="40"/>
      <c r="M151" s="41"/>
      <c r="N151" s="39"/>
      <c r="O151" s="40"/>
      <c r="P151" s="41"/>
      <c r="Q151" s="39"/>
      <c r="R151" s="23">
        <f>Tabla134671422304048566472808896104112120128136144152136160168176184192160168176200208216224232240248256264272280288296304312320328336342350358366374382142230[[#This Row],[VENTA LUNES]]+Tabla134671422304048566472808896104112120128136144152136160168176184192160168176200208216224232240248256264272280288296304312320328336342350358366374382142230[[#This Row],[VENTA MARTES]]+Tabla134671422304048566472808896104112120128136144152136160168176184192160168176200208216224232240248256264272280288296304312320328336342350358366374382142230[[#This Row],[VENTA MIERCOLES]]+Tabla134671422304048566472808896104112120128136144152136160168176184192160168176200208216224232240248256264272280288296304312320328336342350358366374382142230[[#This Row],[VENTA JUEVES]]+Tabla134671422304048566472808896104112120128136144152136160168176184192160168176200208216224232240248256264272280288296304312320328336342350358366374382142230[[#This Row],[VENTA VIERNES]]+Tabla134671422304048566472808896104112120128136144152136160168176184192160168176200208216224232240248256264272280288296304312320328336342350358366374382142230[[#This Row],[VENTA SABADO]]</f>
        <v>9</v>
      </c>
    </row>
    <row r="153" spans="1:18" s="54" customFormat="1" ht="38.25" x14ac:dyDescent="0.2">
      <c r="B153" s="17" t="s">
        <v>289</v>
      </c>
      <c r="C153" s="17" t="s">
        <v>5</v>
      </c>
      <c r="D153" s="17" t="s">
        <v>6</v>
      </c>
      <c r="E153" s="37" t="s">
        <v>7</v>
      </c>
      <c r="F153" s="17" t="s">
        <v>8</v>
      </c>
      <c r="G153" s="17" t="s">
        <v>51</v>
      </c>
      <c r="H153" s="17" t="s">
        <v>10</v>
      </c>
      <c r="I153" s="17" t="s">
        <v>11</v>
      </c>
      <c r="J153" s="17" t="s">
        <v>12</v>
      </c>
      <c r="K153" s="17" t="s">
        <v>13</v>
      </c>
      <c r="L153" s="17" t="s">
        <v>14</v>
      </c>
      <c r="M153" s="17" t="s">
        <v>15</v>
      </c>
      <c r="N153" s="17" t="s">
        <v>16</v>
      </c>
      <c r="O153" s="17" t="s">
        <v>17</v>
      </c>
      <c r="P153" s="17" t="s">
        <v>18</v>
      </c>
      <c r="Q153" s="17" t="s">
        <v>19</v>
      </c>
      <c r="R153" s="17" t="s">
        <v>20</v>
      </c>
    </row>
    <row r="154" spans="1:18" x14ac:dyDescent="0.2">
      <c r="B154" s="22" t="s">
        <v>290</v>
      </c>
      <c r="C154" s="23" t="s">
        <v>291</v>
      </c>
      <c r="D154" s="24">
        <f>Tabla1346815233141495765738189971051131211291371451531371611691771851931611691772012092172252332412492572652732812892973053133213293373433513593673753831523[[#This Row],[STOCK]]</f>
        <v>765</v>
      </c>
      <c r="E154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757</v>
      </c>
      <c r="F154" s="23"/>
      <c r="G154" s="24"/>
      <c r="H154" s="39"/>
      <c r="I154" s="40"/>
      <c r="J154" s="41"/>
      <c r="K154" s="39">
        <v>8</v>
      </c>
      <c r="L154" s="40"/>
      <c r="M154" s="41"/>
      <c r="N154" s="39"/>
      <c r="O154" s="40"/>
      <c r="P154" s="41"/>
      <c r="Q154" s="39"/>
      <c r="R154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8</v>
      </c>
    </row>
    <row r="155" spans="1:18" x14ac:dyDescent="0.2">
      <c r="B155" s="29" t="s">
        <v>292</v>
      </c>
      <c r="C155" s="30" t="s">
        <v>293</v>
      </c>
      <c r="D155" s="31">
        <f>Tabla1346815233141495765738189971051131211291371451531371611691771851931611691772012092172252332412492572652732812892973053133213293373433513593673753831523[[#This Row],[STOCK]]</f>
        <v>494</v>
      </c>
      <c r="E155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481</v>
      </c>
      <c r="F155" s="30"/>
      <c r="G155" s="31"/>
      <c r="H155" s="42"/>
      <c r="I155" s="43"/>
      <c r="J155" s="44"/>
      <c r="K155" s="42">
        <v>13</v>
      </c>
      <c r="L155" s="43"/>
      <c r="M155" s="44"/>
      <c r="N155" s="42"/>
      <c r="O155" s="43"/>
      <c r="P155" s="44"/>
      <c r="Q155" s="42"/>
      <c r="R155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13</v>
      </c>
    </row>
    <row r="156" spans="1:18" ht="13.5" customHeight="1" x14ac:dyDescent="0.2">
      <c r="B156" s="22" t="s">
        <v>294</v>
      </c>
      <c r="C156" s="23" t="s">
        <v>295</v>
      </c>
      <c r="D156" s="24">
        <f>Tabla1346815233141495765738189971051131211291371451531371611691771851931611691772012092172252332412492572652732812892973053133213293373433513593673753831523[[#This Row],[STOCK]]</f>
        <v>337</v>
      </c>
      <c r="E156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324</v>
      </c>
      <c r="F156" s="23"/>
      <c r="G156" s="24"/>
      <c r="H156" s="39"/>
      <c r="I156" s="40">
        <v>2</v>
      </c>
      <c r="J156" s="41"/>
      <c r="K156" s="39">
        <v>11</v>
      </c>
      <c r="L156" s="40"/>
      <c r="M156" s="41"/>
      <c r="N156" s="39"/>
      <c r="O156" s="40"/>
      <c r="P156" s="41"/>
      <c r="Q156" s="39"/>
      <c r="R156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13</v>
      </c>
    </row>
    <row r="157" spans="1:18" x14ac:dyDescent="0.2">
      <c r="B157" s="29" t="s">
        <v>296</v>
      </c>
      <c r="C157" s="30" t="s">
        <v>297</v>
      </c>
      <c r="D157" s="31">
        <f>Tabla1346815233141495765738189971051131211291371451531371611691771851931611691772012092172252332412492572652732812892973053133213293373433513593673753831523[[#This Row],[STOCK]]</f>
        <v>652</v>
      </c>
      <c r="E157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652</v>
      </c>
      <c r="F157" s="30"/>
      <c r="G157" s="31"/>
      <c r="H157" s="42"/>
      <c r="I157" s="43"/>
      <c r="J157" s="44"/>
      <c r="K157" s="42"/>
      <c r="L157" s="43"/>
      <c r="M157" s="44"/>
      <c r="N157" s="42"/>
      <c r="O157" s="43"/>
      <c r="P157" s="44"/>
      <c r="Q157" s="42"/>
      <c r="R157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58" spans="1:18" x14ac:dyDescent="0.2">
      <c r="B158" s="22" t="s">
        <v>298</v>
      </c>
      <c r="C158" s="23" t="s">
        <v>299</v>
      </c>
      <c r="D158" s="24">
        <f>Tabla1346815233141495765738189971051131211291371451531371611691771851931611691772012092172252332412492572652732812892973053133213293373433513593673753831523[[#This Row],[STOCK]]</f>
        <v>836</v>
      </c>
      <c r="E158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836</v>
      </c>
      <c r="F158" s="23"/>
      <c r="G158" s="24"/>
      <c r="H158" s="39"/>
      <c r="I158" s="40"/>
      <c r="J158" s="41"/>
      <c r="K158" s="39"/>
      <c r="L158" s="40"/>
      <c r="M158" s="41"/>
      <c r="N158" s="39"/>
      <c r="O158" s="40"/>
      <c r="P158" s="41"/>
      <c r="Q158" s="39"/>
      <c r="R158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59" spans="1:18" x14ac:dyDescent="0.2">
      <c r="B159" s="29" t="s">
        <v>300</v>
      </c>
      <c r="C159" s="30" t="s">
        <v>301</v>
      </c>
      <c r="D159" s="31">
        <f>Tabla1346815233141495765738189971051131211291371451531371611691771851931611691772012092172252332412492572652732812892973053133213293373433513593673753831523[[#This Row],[STOCK]]</f>
        <v>27</v>
      </c>
      <c r="E159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26</v>
      </c>
      <c r="F159" s="30"/>
      <c r="G159" s="31"/>
      <c r="H159" s="42"/>
      <c r="I159" s="43"/>
      <c r="J159" s="44"/>
      <c r="K159" s="42">
        <v>1</v>
      </c>
      <c r="L159" s="43"/>
      <c r="M159" s="44"/>
      <c r="N159" s="42"/>
      <c r="O159" s="43"/>
      <c r="P159" s="44"/>
      <c r="Q159" s="42"/>
      <c r="R159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1</v>
      </c>
    </row>
    <row r="160" spans="1:18" x14ac:dyDescent="0.2">
      <c r="B160" s="22" t="s">
        <v>302</v>
      </c>
      <c r="C160" s="23" t="s">
        <v>303</v>
      </c>
      <c r="D160" s="24">
        <f>Tabla1346815233141495765738189971051131211291371451531371611691771851931611691772012092172252332412492572652732812892973053133213293373433513593673753831523[[#This Row],[STOCK]]</f>
        <v>647</v>
      </c>
      <c r="E160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645</v>
      </c>
      <c r="F160" s="23"/>
      <c r="G160" s="24"/>
      <c r="H160" s="39"/>
      <c r="I160" s="40"/>
      <c r="J160" s="41"/>
      <c r="K160" s="39">
        <v>2</v>
      </c>
      <c r="L160" s="40"/>
      <c r="M160" s="41"/>
      <c r="N160" s="39"/>
      <c r="O160" s="40"/>
      <c r="P160" s="41"/>
      <c r="Q160" s="39"/>
      <c r="R160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2</v>
      </c>
    </row>
    <row r="161" spans="2:18" x14ac:dyDescent="0.2">
      <c r="B161" s="29" t="s">
        <v>304</v>
      </c>
      <c r="C161" s="30" t="s">
        <v>305</v>
      </c>
      <c r="D161" s="31">
        <f>Tabla1346815233141495765738189971051131211291371451531371611691771851931611691772012092172252332412492572652732812892973053133213293373433513593673753831523[[#This Row],[STOCK]]</f>
        <v>568</v>
      </c>
      <c r="E161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564</v>
      </c>
      <c r="F161" s="30"/>
      <c r="G161" s="31"/>
      <c r="H161" s="42"/>
      <c r="I161" s="43">
        <v>2</v>
      </c>
      <c r="J161" s="44"/>
      <c r="K161" s="42">
        <v>2</v>
      </c>
      <c r="L161" s="43"/>
      <c r="M161" s="44"/>
      <c r="N161" s="42"/>
      <c r="O161" s="43"/>
      <c r="P161" s="44"/>
      <c r="Q161" s="42"/>
      <c r="R161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4</v>
      </c>
    </row>
    <row r="162" spans="2:18" x14ac:dyDescent="0.2">
      <c r="B162" s="22" t="s">
        <v>306</v>
      </c>
      <c r="C162" s="23" t="s">
        <v>307</v>
      </c>
      <c r="D162" s="24">
        <f>Tabla1346815233141495765738189971051131211291371451531371611691771851931611691772012092172252332412492572652732812892973053133213293373433513593673753831523[[#This Row],[STOCK]]</f>
        <v>575</v>
      </c>
      <c r="E162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571</v>
      </c>
      <c r="F162" s="23"/>
      <c r="G162" s="24"/>
      <c r="H162" s="39"/>
      <c r="I162" s="40">
        <v>2</v>
      </c>
      <c r="J162" s="41"/>
      <c r="K162" s="39">
        <v>2</v>
      </c>
      <c r="L162" s="40"/>
      <c r="M162" s="41"/>
      <c r="N162" s="39"/>
      <c r="O162" s="40"/>
      <c r="P162" s="41"/>
      <c r="Q162" s="39"/>
      <c r="R162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4</v>
      </c>
    </row>
    <row r="163" spans="2:18" x14ac:dyDescent="0.2">
      <c r="B163" s="29" t="s">
        <v>308</v>
      </c>
      <c r="C163" s="30" t="s">
        <v>309</v>
      </c>
      <c r="D163" s="31">
        <f>Tabla1346815233141495765738189971051131211291371451531371611691771851931611691772012092172252332412492572652732812892973053133213293373433513593673753831523[[#This Row],[STOCK]]</f>
        <v>468</v>
      </c>
      <c r="E163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468</v>
      </c>
      <c r="F163" s="30"/>
      <c r="G163" s="31"/>
      <c r="H163" s="42"/>
      <c r="I163" s="43"/>
      <c r="J163" s="44"/>
      <c r="K163" s="42"/>
      <c r="L163" s="43"/>
      <c r="M163" s="44"/>
      <c r="N163" s="42"/>
      <c r="O163" s="43"/>
      <c r="P163" s="44"/>
      <c r="Q163" s="42"/>
      <c r="R163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64" spans="2:18" x14ac:dyDescent="0.2">
      <c r="B164" s="22" t="s">
        <v>310</v>
      </c>
      <c r="C164" s="23" t="s">
        <v>311</v>
      </c>
      <c r="D164" s="24">
        <f>Tabla1346815233141495765738189971051131211291371451531371611691771851931611691772012092172252332412492572652732812892973053133213293373433513593673753831523[[#This Row],[STOCK]]</f>
        <v>537</v>
      </c>
      <c r="E164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537</v>
      </c>
      <c r="F164" s="23"/>
      <c r="G164" s="24"/>
      <c r="H164" s="39"/>
      <c r="I164" s="40"/>
      <c r="J164" s="41"/>
      <c r="K164" s="39"/>
      <c r="L164" s="40"/>
      <c r="M164" s="41"/>
      <c r="N164" s="39"/>
      <c r="O164" s="40"/>
      <c r="P164" s="41"/>
      <c r="Q164" s="39"/>
      <c r="R164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65" spans="2:18" x14ac:dyDescent="0.2">
      <c r="B165" s="29" t="s">
        <v>312</v>
      </c>
      <c r="C165" s="30" t="s">
        <v>313</v>
      </c>
      <c r="D165" s="31">
        <f>Tabla1346815233141495765738189971051131211291371451531371611691771851931611691772012092172252332412492572652732812892973053133213293373433513593673753831523[[#This Row],[STOCK]]</f>
        <v>20</v>
      </c>
      <c r="E165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18</v>
      </c>
      <c r="F165" s="30"/>
      <c r="G165" s="31"/>
      <c r="H165" s="42"/>
      <c r="I165" s="43"/>
      <c r="J165" s="44"/>
      <c r="K165" s="42">
        <v>2</v>
      </c>
      <c r="L165" s="43"/>
      <c r="M165" s="44"/>
      <c r="N165" s="42"/>
      <c r="O165" s="43"/>
      <c r="P165" s="44"/>
      <c r="Q165" s="42"/>
      <c r="R165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2</v>
      </c>
    </row>
    <row r="166" spans="2:18" x14ac:dyDescent="0.2">
      <c r="B166" s="22" t="s">
        <v>314</v>
      </c>
      <c r="C166" s="23" t="s">
        <v>315</v>
      </c>
      <c r="D166" s="24">
        <f>Tabla1346815233141495765738189971051131211291371451531371611691771851931611691772012092172252332412492572652732812892973053133213293373433513593673753831523[[#This Row],[STOCK]]</f>
        <v>54</v>
      </c>
      <c r="E166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54</v>
      </c>
      <c r="F166" s="23"/>
      <c r="G166" s="24"/>
      <c r="H166" s="39"/>
      <c r="I166" s="40"/>
      <c r="J166" s="41"/>
      <c r="K166" s="39"/>
      <c r="L166" s="40"/>
      <c r="M166" s="41"/>
      <c r="N166" s="39"/>
      <c r="O166" s="40"/>
      <c r="P166" s="41"/>
      <c r="Q166" s="39"/>
      <c r="R166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67" spans="2:18" x14ac:dyDescent="0.2">
      <c r="B167" s="29" t="s">
        <v>316</v>
      </c>
      <c r="C167" s="30" t="s">
        <v>317</v>
      </c>
      <c r="D167" s="31">
        <f>Tabla1346815233141495765738189971051131211291371451531371611691771851931611691772012092172252332412492572652732812892973053133213293373433513593673753831523[[#This Row],[STOCK]]</f>
        <v>0</v>
      </c>
      <c r="E167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0</v>
      </c>
      <c r="F167" s="30"/>
      <c r="G167" s="31"/>
      <c r="H167" s="42"/>
      <c r="I167" s="43"/>
      <c r="J167" s="44"/>
      <c r="K167" s="42"/>
      <c r="L167" s="43"/>
      <c r="M167" s="44"/>
      <c r="N167" s="42"/>
      <c r="O167" s="43"/>
      <c r="P167" s="44"/>
      <c r="Q167" s="42"/>
      <c r="R167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68" spans="2:18" x14ac:dyDescent="0.2">
      <c r="B168" s="22" t="s">
        <v>318</v>
      </c>
      <c r="C168" s="23" t="s">
        <v>319</v>
      </c>
      <c r="D168" s="24">
        <f>Tabla1346815233141495765738189971051131211291371451531371611691771851931611691772012092172252332412492572652732812892973053133213293373433513593673753831523[[#This Row],[STOCK]]</f>
        <v>106</v>
      </c>
      <c r="E168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104</v>
      </c>
      <c r="F168" s="23"/>
      <c r="G168" s="24"/>
      <c r="H168" s="39"/>
      <c r="I168" s="40">
        <v>2</v>
      </c>
      <c r="J168" s="41"/>
      <c r="K168" s="39"/>
      <c r="L168" s="40"/>
      <c r="M168" s="41"/>
      <c r="N168" s="39"/>
      <c r="O168" s="40"/>
      <c r="P168" s="41"/>
      <c r="Q168" s="39"/>
      <c r="R168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2</v>
      </c>
    </row>
    <row r="169" spans="2:18" ht="13.5" customHeight="1" x14ac:dyDescent="0.2">
      <c r="B169" s="29" t="s">
        <v>320</v>
      </c>
      <c r="C169" s="30" t="s">
        <v>321</v>
      </c>
      <c r="D169" s="31">
        <f>Tabla1346815233141495765738189971051131211291371451531371611691771851931611691772012092172252332412492572652732812892973053133213293373433513593673753831523[[#This Row],[STOCK]]</f>
        <v>107</v>
      </c>
      <c r="E169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107</v>
      </c>
      <c r="F169" s="30"/>
      <c r="G169" s="31"/>
      <c r="H169" s="42"/>
      <c r="I169" s="43"/>
      <c r="J169" s="44"/>
      <c r="K169" s="42"/>
      <c r="L169" s="43"/>
      <c r="M169" s="44"/>
      <c r="N169" s="42"/>
      <c r="O169" s="43"/>
      <c r="P169" s="44"/>
      <c r="Q169" s="42"/>
      <c r="R169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70" spans="2:18" x14ac:dyDescent="0.2">
      <c r="B170" s="22" t="s">
        <v>322</v>
      </c>
      <c r="C170" s="23" t="s">
        <v>323</v>
      </c>
      <c r="D170" s="24">
        <f>Tabla1346815233141495765738189971051131211291371451531371611691771851931611691772012092172252332412492572652732812892973053133213293373433513593673753831523[[#This Row],[STOCK]]</f>
        <v>106</v>
      </c>
      <c r="E170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105</v>
      </c>
      <c r="F170" s="23"/>
      <c r="G170" s="24"/>
      <c r="H170" s="39"/>
      <c r="I170" s="40">
        <v>1</v>
      </c>
      <c r="J170" s="41"/>
      <c r="K170" s="39"/>
      <c r="L170" s="40"/>
      <c r="M170" s="41"/>
      <c r="N170" s="39"/>
      <c r="O170" s="40"/>
      <c r="P170" s="41"/>
      <c r="Q170" s="39"/>
      <c r="R170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1</v>
      </c>
    </row>
    <row r="171" spans="2:18" x14ac:dyDescent="0.2">
      <c r="B171" s="29" t="s">
        <v>324</v>
      </c>
      <c r="C171" s="30" t="s">
        <v>325</v>
      </c>
      <c r="D171" s="31">
        <f>Tabla1346815233141495765738189971051131211291371451531371611691771851931611691772012092172252332412492572652732812892973053133213293373433513593673753831523[[#This Row],[STOCK]]</f>
        <v>113</v>
      </c>
      <c r="E171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106</v>
      </c>
      <c r="F171" s="30"/>
      <c r="G171" s="31"/>
      <c r="H171" s="42"/>
      <c r="I171" s="43">
        <v>2</v>
      </c>
      <c r="J171" s="44"/>
      <c r="K171" s="42">
        <v>5</v>
      </c>
      <c r="L171" s="43"/>
      <c r="M171" s="44"/>
      <c r="N171" s="42"/>
      <c r="O171" s="43"/>
      <c r="P171" s="44"/>
      <c r="Q171" s="42"/>
      <c r="R171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7</v>
      </c>
    </row>
    <row r="172" spans="2:18" x14ac:dyDescent="0.2">
      <c r="B172" s="22" t="s">
        <v>326</v>
      </c>
      <c r="C172" s="23" t="s">
        <v>327</v>
      </c>
      <c r="D172" s="24">
        <f>Tabla1346815233141495765738189971051131211291371451531371611691771851931611691772012092172252332412492572652732812892973053133213293373433513593673753831523[[#This Row],[STOCK]]</f>
        <v>109</v>
      </c>
      <c r="E172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109</v>
      </c>
      <c r="F172" s="23"/>
      <c r="G172" s="24"/>
      <c r="H172" s="39"/>
      <c r="I172" s="40"/>
      <c r="J172" s="41"/>
      <c r="K172" s="39"/>
      <c r="L172" s="40"/>
      <c r="M172" s="41"/>
      <c r="N172" s="39"/>
      <c r="O172" s="40"/>
      <c r="P172" s="41"/>
      <c r="Q172" s="39"/>
      <c r="R172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73" spans="2:18" x14ac:dyDescent="0.2">
      <c r="B173" s="29" t="s">
        <v>328</v>
      </c>
      <c r="C173" s="30" t="s">
        <v>329</v>
      </c>
      <c r="D173" s="31">
        <f>Tabla1346815233141495765738189971051131211291371451531371611691771851931611691772012092172252332412492572652732812892973053133213293373433513593673753831523[[#This Row],[STOCK]]</f>
        <v>112</v>
      </c>
      <c r="E173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112</v>
      </c>
      <c r="F173" s="30"/>
      <c r="G173" s="31"/>
      <c r="H173" s="42"/>
      <c r="I173" s="43"/>
      <c r="J173" s="44"/>
      <c r="K173" s="42"/>
      <c r="L173" s="43"/>
      <c r="M173" s="44"/>
      <c r="N173" s="42"/>
      <c r="O173" s="43"/>
      <c r="P173" s="44"/>
      <c r="Q173" s="42"/>
      <c r="R173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74" spans="2:18" x14ac:dyDescent="0.2">
      <c r="B174" s="22" t="s">
        <v>330</v>
      </c>
      <c r="C174" s="23" t="s">
        <v>331</v>
      </c>
      <c r="D174" s="24">
        <f>Tabla1346815233141495765738189971051131211291371451531371611691771851931611691772012092172252332412492572652732812892973053133213293373433513593673753831523[[#This Row],[STOCK]]</f>
        <v>71</v>
      </c>
      <c r="E174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61</v>
      </c>
      <c r="F174" s="23"/>
      <c r="G174" s="24"/>
      <c r="H174" s="39"/>
      <c r="I174" s="40"/>
      <c r="J174" s="41"/>
      <c r="K174" s="39">
        <v>5</v>
      </c>
      <c r="L174" s="40"/>
      <c r="M174" s="41"/>
      <c r="N174" s="39"/>
      <c r="O174" s="40"/>
      <c r="P174" s="41"/>
      <c r="Q174" s="39">
        <v>5</v>
      </c>
      <c r="R174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10</v>
      </c>
    </row>
    <row r="175" spans="2:18" x14ac:dyDescent="0.2">
      <c r="B175" s="29" t="s">
        <v>332</v>
      </c>
      <c r="C175" s="30" t="s">
        <v>333</v>
      </c>
      <c r="D175" s="31">
        <f>Tabla1346815233141495765738189971051131211291371451531371611691771851931611691772012092172252332412492572652732812892973053133213293373433513593673753831523[[#This Row],[STOCK]]</f>
        <v>147</v>
      </c>
      <c r="E175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147</v>
      </c>
      <c r="F175" s="30"/>
      <c r="G175" s="31"/>
      <c r="H175" s="42"/>
      <c r="I175" s="43"/>
      <c r="J175" s="44"/>
      <c r="K175" s="42"/>
      <c r="L175" s="43"/>
      <c r="M175" s="44"/>
      <c r="N175" s="42"/>
      <c r="O175" s="43"/>
      <c r="P175" s="44"/>
      <c r="Q175" s="42"/>
      <c r="R175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76" spans="2:18" x14ac:dyDescent="0.2">
      <c r="B176" s="22" t="s">
        <v>334</v>
      </c>
      <c r="C176" s="23" t="s">
        <v>335</v>
      </c>
      <c r="D176" s="24">
        <f>Tabla1346815233141495765738189971051131211291371451531371611691771851931611691772012092172252332412492572652732812892973053133213293373433513593673753831523[[#This Row],[STOCK]]</f>
        <v>104</v>
      </c>
      <c r="E176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104</v>
      </c>
      <c r="F176" s="23"/>
      <c r="G176" s="24"/>
      <c r="H176" s="39"/>
      <c r="I176" s="40"/>
      <c r="J176" s="41"/>
      <c r="K176" s="39"/>
      <c r="L176" s="40"/>
      <c r="M176" s="41"/>
      <c r="N176" s="39"/>
      <c r="O176" s="40"/>
      <c r="P176" s="41"/>
      <c r="Q176" s="39"/>
      <c r="R176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77" spans="2:18" x14ac:dyDescent="0.2">
      <c r="B177" s="29" t="s">
        <v>336</v>
      </c>
      <c r="C177" s="30" t="s">
        <v>337</v>
      </c>
      <c r="D177" s="31">
        <f>Tabla1346815233141495765738189971051131211291371451531371611691771851931611691772012092172252332412492572652732812892973053133213293373433513593673753831523[[#This Row],[STOCK]]</f>
        <v>68</v>
      </c>
      <c r="E177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58</v>
      </c>
      <c r="F177" s="30"/>
      <c r="G177" s="31"/>
      <c r="H177" s="42"/>
      <c r="I177" s="43"/>
      <c r="J177" s="44"/>
      <c r="K177" s="42">
        <v>5</v>
      </c>
      <c r="L177" s="43"/>
      <c r="M177" s="44"/>
      <c r="N177" s="42"/>
      <c r="O177" s="43"/>
      <c r="P177" s="44"/>
      <c r="Q177" s="42">
        <v>5</v>
      </c>
      <c r="R177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10</v>
      </c>
    </row>
    <row r="178" spans="2:18" x14ac:dyDescent="0.2">
      <c r="B178" s="22" t="s">
        <v>338</v>
      </c>
      <c r="C178" s="23" t="s">
        <v>339</v>
      </c>
      <c r="D178" s="24">
        <f>Tabla1346815233141495765738189971051131211291371451531371611691771851931611691772012092172252332412492572652732812892973053133213293373433513593673753831523[[#This Row],[STOCK]]</f>
        <v>0</v>
      </c>
      <c r="E178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0</v>
      </c>
      <c r="F178" s="23"/>
      <c r="G178" s="24"/>
      <c r="H178" s="39"/>
      <c r="I178" s="40"/>
      <c r="J178" s="41"/>
      <c r="K178" s="39"/>
      <c r="L178" s="40"/>
      <c r="M178" s="41"/>
      <c r="N178" s="39"/>
      <c r="O178" s="40"/>
      <c r="P178" s="41"/>
      <c r="Q178" s="39"/>
      <c r="R178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79" spans="2:18" x14ac:dyDescent="0.2">
      <c r="B179" s="29" t="s">
        <v>340</v>
      </c>
      <c r="C179" s="30" t="s">
        <v>341</v>
      </c>
      <c r="D179" s="31">
        <f>Tabla1346815233141495765738189971051131211291371451531371611691771851931611691772012092172252332412492572652732812892973053133213293373433513593673753831523[[#This Row],[STOCK]]</f>
        <v>47</v>
      </c>
      <c r="E179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47</v>
      </c>
      <c r="F179" s="30"/>
      <c r="G179" s="31"/>
      <c r="H179" s="42"/>
      <c r="I179" s="43"/>
      <c r="J179" s="44"/>
      <c r="K179" s="42"/>
      <c r="L179" s="43"/>
      <c r="M179" s="44"/>
      <c r="N179" s="42"/>
      <c r="O179" s="43"/>
      <c r="P179" s="44"/>
      <c r="Q179" s="42"/>
      <c r="R179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80" spans="2:18" x14ac:dyDescent="0.2">
      <c r="B180" s="22" t="s">
        <v>342</v>
      </c>
      <c r="C180" s="23" t="s">
        <v>343</v>
      </c>
      <c r="D180" s="24">
        <f>Tabla1346815233141495765738189971051131211291371451531371611691771851931611691772012092172252332412492572652732812892973053133213293373433513593673753831523[[#This Row],[STOCK]]</f>
        <v>29</v>
      </c>
      <c r="E180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29</v>
      </c>
      <c r="F180" s="23"/>
      <c r="G180" s="24"/>
      <c r="H180" s="39"/>
      <c r="I180" s="40"/>
      <c r="J180" s="41"/>
      <c r="K180" s="39"/>
      <c r="L180" s="40"/>
      <c r="M180" s="41"/>
      <c r="N180" s="39"/>
      <c r="O180" s="40"/>
      <c r="P180" s="41"/>
      <c r="Q180" s="39"/>
      <c r="R180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81" spans="2:18" x14ac:dyDescent="0.2">
      <c r="B181" s="29" t="s">
        <v>344</v>
      </c>
      <c r="C181" s="30" t="s">
        <v>345</v>
      </c>
      <c r="D181" s="31">
        <f>Tabla1346815233141495765738189971051131211291371451531371611691771851931611691772012092172252332412492572652732812892973053133213293373433513593673753831523[[#This Row],[STOCK]]</f>
        <v>195</v>
      </c>
      <c r="E181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195</v>
      </c>
      <c r="F181" s="30"/>
      <c r="G181" s="31"/>
      <c r="H181" s="42"/>
      <c r="I181" s="43"/>
      <c r="J181" s="44"/>
      <c r="K181" s="42"/>
      <c r="L181" s="43"/>
      <c r="M181" s="44"/>
      <c r="N181" s="42"/>
      <c r="O181" s="43"/>
      <c r="P181" s="44"/>
      <c r="Q181" s="42"/>
      <c r="R181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82" spans="2:18" x14ac:dyDescent="0.2">
      <c r="B182" s="22" t="s">
        <v>346</v>
      </c>
      <c r="C182" s="23" t="s">
        <v>347</v>
      </c>
      <c r="D182" s="24">
        <f>Tabla1346815233141495765738189971051131211291371451531371611691771851931611691772012092172252332412492572652732812892973053133213293373433513593673753831523[[#This Row],[STOCK]]</f>
        <v>0</v>
      </c>
      <c r="E182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0</v>
      </c>
      <c r="F182" s="23"/>
      <c r="G182" s="24"/>
      <c r="H182" s="39"/>
      <c r="I182" s="40"/>
      <c r="J182" s="41"/>
      <c r="K182" s="39"/>
      <c r="L182" s="40"/>
      <c r="M182" s="41"/>
      <c r="N182" s="39"/>
      <c r="O182" s="40"/>
      <c r="P182" s="41"/>
      <c r="Q182" s="39"/>
      <c r="R182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83" spans="2:18" x14ac:dyDescent="0.2">
      <c r="B183" s="29" t="s">
        <v>348</v>
      </c>
      <c r="C183" s="30" t="s">
        <v>349</v>
      </c>
      <c r="D183" s="31">
        <f>Tabla1346815233141495765738189971051131211291371451531371611691771851931611691772012092172252332412492572652732812892973053133213293373433513593673753831523[[#This Row],[STOCK]]</f>
        <v>24</v>
      </c>
      <c r="E183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24</v>
      </c>
      <c r="F183" s="30"/>
      <c r="G183" s="31"/>
      <c r="H183" s="42"/>
      <c r="I183" s="43"/>
      <c r="J183" s="44"/>
      <c r="K183" s="42"/>
      <c r="L183" s="43"/>
      <c r="M183" s="44"/>
      <c r="N183" s="42"/>
      <c r="O183" s="43"/>
      <c r="P183" s="44"/>
      <c r="Q183" s="42"/>
      <c r="R183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84" spans="2:18" x14ac:dyDescent="0.2">
      <c r="B184" s="22" t="s">
        <v>350</v>
      </c>
      <c r="C184" s="23" t="s">
        <v>351</v>
      </c>
      <c r="D184" s="24">
        <f>Tabla1346815233141495765738189971051131211291371451531371611691771851931611691772012092172252332412492572652732812892973053133213293373433513593673753831523[[#This Row],[STOCK]]</f>
        <v>33</v>
      </c>
      <c r="E184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33</v>
      </c>
      <c r="F184" s="23"/>
      <c r="G184" s="24"/>
      <c r="H184" s="39"/>
      <c r="I184" s="40"/>
      <c r="J184" s="41"/>
      <c r="K184" s="39"/>
      <c r="L184" s="40"/>
      <c r="M184" s="41"/>
      <c r="N184" s="39"/>
      <c r="O184" s="40"/>
      <c r="P184" s="41"/>
      <c r="Q184" s="39"/>
      <c r="R184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85" spans="2:18" x14ac:dyDescent="0.2">
      <c r="B185" s="29" t="s">
        <v>352</v>
      </c>
      <c r="C185" s="30" t="s">
        <v>353</v>
      </c>
      <c r="D185" s="31">
        <f>Tabla1346815233141495765738189971051131211291371451531371611691771851931611691772012092172252332412492572652732812892973053133213293373433513593673753831523[[#This Row],[STOCK]]</f>
        <v>0</v>
      </c>
      <c r="E185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0</v>
      </c>
      <c r="F185" s="30"/>
      <c r="G185" s="31"/>
      <c r="H185" s="42"/>
      <c r="I185" s="43"/>
      <c r="J185" s="44"/>
      <c r="K185" s="42"/>
      <c r="L185" s="43"/>
      <c r="M185" s="44"/>
      <c r="N185" s="42"/>
      <c r="O185" s="43"/>
      <c r="P185" s="44"/>
      <c r="Q185" s="42"/>
      <c r="R185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86" spans="2:18" x14ac:dyDescent="0.2">
      <c r="B186" s="22" t="s">
        <v>354</v>
      </c>
      <c r="C186" s="23" t="s">
        <v>355</v>
      </c>
      <c r="D186" s="24">
        <f>Tabla1346815233141495765738189971051131211291371451531371611691771851931611691772012092172252332412492572652732812892973053133213293373433513593673753831523[[#This Row],[STOCK]]</f>
        <v>13</v>
      </c>
      <c r="E186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11</v>
      </c>
      <c r="F186" s="23"/>
      <c r="G186" s="24"/>
      <c r="H186" s="39"/>
      <c r="I186" s="40">
        <v>2</v>
      </c>
      <c r="J186" s="41"/>
      <c r="K186" s="39"/>
      <c r="L186" s="40"/>
      <c r="M186" s="41"/>
      <c r="N186" s="39"/>
      <c r="O186" s="40"/>
      <c r="P186" s="41"/>
      <c r="Q186" s="39"/>
      <c r="R186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2</v>
      </c>
    </row>
    <row r="187" spans="2:18" x14ac:dyDescent="0.2">
      <c r="B187" s="29" t="s">
        <v>356</v>
      </c>
      <c r="C187" s="30" t="s">
        <v>357</v>
      </c>
      <c r="D187" s="31">
        <f>Tabla1346815233141495765738189971051131211291371451531371611691771851931611691772012092172252332412492572652732812892973053133213293373433513593673753831523[[#This Row],[STOCK]]</f>
        <v>9</v>
      </c>
      <c r="E187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9</v>
      </c>
      <c r="F187" s="30"/>
      <c r="G187" s="31"/>
      <c r="H187" s="42"/>
      <c r="I187" s="43"/>
      <c r="J187" s="44"/>
      <c r="K187" s="42"/>
      <c r="L187" s="43"/>
      <c r="M187" s="44"/>
      <c r="N187" s="42"/>
      <c r="O187" s="43"/>
      <c r="P187" s="44"/>
      <c r="Q187" s="42"/>
      <c r="R187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88" spans="2:18" x14ac:dyDescent="0.2">
      <c r="B188" s="22" t="s">
        <v>358</v>
      </c>
      <c r="C188" s="23" t="s">
        <v>359</v>
      </c>
      <c r="D188" s="24">
        <f>Tabla1346815233141495765738189971051131211291371451531371611691771851931611691772012092172252332412492572652732812892973053133213293373433513593673753831523[[#This Row],[STOCK]]</f>
        <v>0</v>
      </c>
      <c r="E188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0</v>
      </c>
      <c r="F188" s="23"/>
      <c r="G188" s="24"/>
      <c r="H188" s="39"/>
      <c r="I188" s="40"/>
      <c r="J188" s="41"/>
      <c r="K188" s="39"/>
      <c r="L188" s="40"/>
      <c r="M188" s="41"/>
      <c r="N188" s="39"/>
      <c r="O188" s="40"/>
      <c r="P188" s="41"/>
      <c r="Q188" s="39"/>
      <c r="R188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89" spans="2:18" x14ac:dyDescent="0.2">
      <c r="B189" s="29" t="s">
        <v>360</v>
      </c>
      <c r="C189" s="30" t="s">
        <v>361</v>
      </c>
      <c r="D189" s="31">
        <f>Tabla1346815233141495765738189971051131211291371451531371611691771851931611691772012092172252332412492572652732812892973053133213293373433513593673753831523[[#This Row],[STOCK]]</f>
        <v>81</v>
      </c>
      <c r="E189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81</v>
      </c>
      <c r="F189" s="30"/>
      <c r="G189" s="31"/>
      <c r="H189" s="42"/>
      <c r="I189" s="43"/>
      <c r="J189" s="44"/>
      <c r="K189" s="42"/>
      <c r="L189" s="43"/>
      <c r="M189" s="44"/>
      <c r="N189" s="42"/>
      <c r="O189" s="43"/>
      <c r="P189" s="44"/>
      <c r="Q189" s="42"/>
      <c r="R189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90" spans="2:18" x14ac:dyDescent="0.2">
      <c r="B190" s="22" t="s">
        <v>362</v>
      </c>
      <c r="C190" s="23" t="s">
        <v>363</v>
      </c>
      <c r="D190" s="24">
        <f>Tabla1346815233141495765738189971051131211291371451531371611691771851931611691772012092172252332412492572652732812892973053133213293373433513593673753831523[[#This Row],[STOCK]]</f>
        <v>0</v>
      </c>
      <c r="E190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0</v>
      </c>
      <c r="F190" s="23"/>
      <c r="G190" s="24"/>
      <c r="H190" s="39"/>
      <c r="I190" s="40"/>
      <c r="J190" s="41"/>
      <c r="K190" s="39"/>
      <c r="L190" s="40"/>
      <c r="M190" s="41"/>
      <c r="N190" s="39"/>
      <c r="O190" s="40"/>
      <c r="P190" s="41"/>
      <c r="Q190" s="39"/>
      <c r="R190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91" spans="2:18" x14ac:dyDescent="0.2">
      <c r="B191" s="29" t="s">
        <v>364</v>
      </c>
      <c r="C191" s="30" t="s">
        <v>365</v>
      </c>
      <c r="D191" s="31">
        <f>Tabla1346815233141495765738189971051131211291371451531371611691771851931611691772012092172252332412492572652732812892973053133213293373433513593673753831523[[#This Row],[STOCK]]</f>
        <v>0</v>
      </c>
      <c r="E191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0</v>
      </c>
      <c r="F191" s="30"/>
      <c r="G191" s="31"/>
      <c r="H191" s="42"/>
      <c r="I191" s="43"/>
      <c r="J191" s="44"/>
      <c r="K191" s="42"/>
      <c r="L191" s="43"/>
      <c r="M191" s="44"/>
      <c r="N191" s="42"/>
      <c r="O191" s="43"/>
      <c r="P191" s="44"/>
      <c r="Q191" s="42"/>
      <c r="R191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92" spans="2:18" x14ac:dyDescent="0.2">
      <c r="B192" s="22" t="s">
        <v>366</v>
      </c>
      <c r="C192" s="23" t="s">
        <v>367</v>
      </c>
      <c r="D192" s="24">
        <f>Tabla1346815233141495765738189971051131211291371451531371611691771851931611691772012092172252332412492572652732812892973053133213293373433513593673753831523[[#This Row],[STOCK]]</f>
        <v>0</v>
      </c>
      <c r="E192" s="25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0</v>
      </c>
      <c r="F192" s="23"/>
      <c r="G192" s="24"/>
      <c r="H192" s="39"/>
      <c r="I192" s="40"/>
      <c r="J192" s="41"/>
      <c r="K192" s="39"/>
      <c r="L192" s="40"/>
      <c r="M192" s="41"/>
      <c r="N192" s="39"/>
      <c r="O192" s="40"/>
      <c r="P192" s="41"/>
      <c r="Q192" s="39"/>
      <c r="R192" s="23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93" spans="2:18" x14ac:dyDescent="0.2">
      <c r="B193" s="29" t="s">
        <v>368</v>
      </c>
      <c r="C193" s="30" t="s">
        <v>369</v>
      </c>
      <c r="D193" s="31">
        <f>Tabla1346815233141495765738189971051131211291371451531371611691771851931611691772012092172252332412492572652732812892973053133213293373433513593673753831523[[#This Row],[STOCK]]</f>
        <v>0</v>
      </c>
      <c r="E193" s="32">
        <f>Tabla134681523314149576573818997105113121129137145153137161169177185193161169177201209217225233241249257265273281289297305313321329337343351359367375383152331[[#This Row],[INVENTARIO INICIAL]]+Tabla134681523314149576573818997105113121129137145153137161169177185193161169177201209217225233241249257265273281289297305313321329337343351359367375383152331[[#This Row],[INGRESO LUNES]]-Tabla134681523314149576573818997105113121129137145153137161169177185193161169177201209217225233241249257265273281289297305313321329337343351359367375383152331[[#This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Row],[INGRESO MARTES]]-Tabla134681523314149576573818997105113121129137145153137161169177185193161169177201209217225233241249257265273281289297305313321329337343351359367375383152331[[#This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Row],[INGRESO MIERCOLES]]-Tabla134681523314149576573818997105113121129137145153137161169177185193161169177201209217225233241249257265273281289297305313321329337343351359367375383152331[[#This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Row],[INGRESO JUEVES]]-Tabla134681523314149576573818997105113121129137145153137161169177185193161169177201209217225233241249257265273281289297305313321329337343351359367375383152331[[#This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Row],[INGRESO VIERNES]]-Tabla134681523314149576573818997105113121129137145153137161169177185193161169177201209217225233241249257265273281289297305313321329337343351359367375383152331[[#This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 INGRESO SABADO]]-Tabla134681523314149576573818997105113121129137145153137161169177185193161169177201209217225233241249257265273281289297305313321329337343351359367375383152331[[#This Row],[VENTA SABADO]]</f>
        <v>0</v>
      </c>
      <c r="F193" s="30"/>
      <c r="G193" s="31"/>
      <c r="H193" s="42"/>
      <c r="I193" s="43"/>
      <c r="J193" s="44"/>
      <c r="K193" s="42"/>
      <c r="L193" s="43"/>
      <c r="M193" s="44"/>
      <c r="N193" s="42"/>
      <c r="O193" s="43"/>
      <c r="P193" s="44"/>
      <c r="Q193" s="42"/>
      <c r="R193" s="30">
        <f>Tabla134681523314149576573818997105113121129137145153137161169177185193161169177201209217225233241249257265273281289297305313321329337343351359367375383152331[[#This Row],[VENTA LUNES]]+Tabla134681523314149576573818997105113121129137145153137161169177185193161169177201209217225233241249257265273281289297305313321329337343351359367375383152331[[#This Row],[VENTA MARTES]]+Tabla134681523314149576573818997105113121129137145153137161169177185193161169177201209217225233241249257265273281289297305313321329337343351359367375383152331[[#This Row],[VENTA MIERCOLES]]+Tabla134681523314149576573818997105113121129137145153137161169177185193161169177201209217225233241249257265273281289297305313321329337343351359367375383152331[[#This Row],[VENTA JUEVES]]+Tabla134681523314149576573818997105113121129137145153137161169177185193161169177201209217225233241249257265273281289297305313321329337343351359367375383152331[[#This Row],[VENTA VIERNES]]+Tabla134681523314149576573818997105113121129137145153137161169177185193161169177201209217225233241249257265273281289297305313321329337343351359367375383152331[[#This Row],[VENTA SABADO]]</f>
        <v>0</v>
      </c>
    </row>
    <row r="195" spans="2:18" s="54" customFormat="1" ht="38.25" x14ac:dyDescent="0.2">
      <c r="B195" s="17" t="s">
        <v>370</v>
      </c>
      <c r="C195" s="17" t="s">
        <v>5</v>
      </c>
      <c r="D195" s="17" t="s">
        <v>6</v>
      </c>
      <c r="E195" s="17" t="s">
        <v>7</v>
      </c>
      <c r="F195" s="17" t="s">
        <v>8</v>
      </c>
      <c r="G195" s="17" t="s">
        <v>51</v>
      </c>
      <c r="H195" s="17" t="s">
        <v>10</v>
      </c>
      <c r="I195" s="17" t="s">
        <v>11</v>
      </c>
      <c r="J195" s="17" t="s">
        <v>12</v>
      </c>
      <c r="K195" s="17" t="s">
        <v>13</v>
      </c>
      <c r="L195" s="17" t="s">
        <v>14</v>
      </c>
      <c r="M195" s="17" t="s">
        <v>15</v>
      </c>
      <c r="N195" s="17" t="s">
        <v>16</v>
      </c>
      <c r="O195" s="17" t="s">
        <v>371</v>
      </c>
      <c r="P195" s="17" t="s">
        <v>372</v>
      </c>
      <c r="Q195" s="17" t="s">
        <v>373</v>
      </c>
      <c r="R195" s="17" t="s">
        <v>20</v>
      </c>
    </row>
    <row r="196" spans="2:18" x14ac:dyDescent="0.2">
      <c r="B196" s="22" t="s">
        <v>374</v>
      </c>
      <c r="C196" s="23" t="s">
        <v>375</v>
      </c>
      <c r="D196" s="24">
        <f>Tabla13468916243242505866748290981061141221301381461541381621701781861941621701782022102182262342422502582662742822902983063143223303383443523603683763841624[[#This Row],[STOCK]]</f>
        <v>0</v>
      </c>
      <c r="E196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196" s="23"/>
      <c r="G196" s="24"/>
      <c r="H196" s="39"/>
      <c r="I196" s="40"/>
      <c r="J196" s="41"/>
      <c r="K196" s="39"/>
      <c r="L196" s="40"/>
      <c r="M196" s="41"/>
      <c r="N196" s="39"/>
      <c r="O196" s="40"/>
      <c r="P196" s="41"/>
      <c r="Q196" s="39"/>
      <c r="R196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197" spans="2:18" x14ac:dyDescent="0.2">
      <c r="B197" s="29" t="s">
        <v>376</v>
      </c>
      <c r="C197" s="30" t="s">
        <v>377</v>
      </c>
      <c r="D197" s="31">
        <f>Tabla13468916243242505866748290981061141221301381461541381621701781861941621701782022102182262342422502582662742822902983063143223303383443523603683763841624[[#This Row],[STOCK]]</f>
        <v>58</v>
      </c>
      <c r="E197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58</v>
      </c>
      <c r="F197" s="30"/>
      <c r="G197" s="31"/>
      <c r="H197" s="42"/>
      <c r="I197" s="43"/>
      <c r="J197" s="44"/>
      <c r="K197" s="42"/>
      <c r="L197" s="43"/>
      <c r="M197" s="44"/>
      <c r="N197" s="42"/>
      <c r="O197" s="43"/>
      <c r="P197" s="44"/>
      <c r="Q197" s="42"/>
      <c r="R197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198" spans="2:18" x14ac:dyDescent="0.2">
      <c r="B198" s="22" t="s">
        <v>378</v>
      </c>
      <c r="C198" s="23" t="s">
        <v>379</v>
      </c>
      <c r="D198" s="24">
        <f>Tabla13468916243242505866748290981061141221301381461541381621701781861941621701782022102182262342422502582662742822902983063143223303383443523603683763841624[[#This Row],[STOCK]]</f>
        <v>19</v>
      </c>
      <c r="E198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198" s="23"/>
      <c r="G198" s="24">
        <v>19</v>
      </c>
      <c r="H198" s="39"/>
      <c r="I198" s="40"/>
      <c r="J198" s="41"/>
      <c r="K198" s="39"/>
      <c r="L198" s="40"/>
      <c r="M198" s="41"/>
      <c r="N198" s="39"/>
      <c r="O198" s="40"/>
      <c r="P198" s="41">
        <v>14</v>
      </c>
      <c r="Q198" s="39">
        <v>14</v>
      </c>
      <c r="R198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33</v>
      </c>
    </row>
    <row r="199" spans="2:18" x14ac:dyDescent="0.2">
      <c r="B199" s="29" t="s">
        <v>380</v>
      </c>
      <c r="C199" s="30" t="s">
        <v>381</v>
      </c>
      <c r="D199" s="31">
        <f>Tabla13468916243242505866748290981061141221301381461541381621701781861941621701782022102182262342422502582662742822902983063143223303383443523603683763841624[[#This Row],[STOCK]]</f>
        <v>75</v>
      </c>
      <c r="E199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137</v>
      </c>
      <c r="F199" s="30"/>
      <c r="G199" s="31">
        <v>4</v>
      </c>
      <c r="H199" s="42"/>
      <c r="I199" s="43">
        <v>4</v>
      </c>
      <c r="J199" s="44"/>
      <c r="K199" s="42">
        <v>1</v>
      </c>
      <c r="L199" s="43">
        <v>72</v>
      </c>
      <c r="M199" s="44"/>
      <c r="N199" s="42"/>
      <c r="O199" s="43"/>
      <c r="P199" s="44"/>
      <c r="Q199" s="42">
        <v>1</v>
      </c>
      <c r="R199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10</v>
      </c>
    </row>
    <row r="200" spans="2:18" x14ac:dyDescent="0.2">
      <c r="B200" s="22" t="s">
        <v>382</v>
      </c>
      <c r="C200" s="23" t="s">
        <v>383</v>
      </c>
      <c r="D200" s="24">
        <f>Tabla13468916243242505866748290981061141221301381461541381621701781861941621701782022102182262342422502582662742822902983063143223303383443523603683763841624[[#This Row],[STOCK]]</f>
        <v>4</v>
      </c>
      <c r="E200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00" s="23"/>
      <c r="G200" s="24">
        <v>4</v>
      </c>
      <c r="H200" s="39"/>
      <c r="I200" s="40"/>
      <c r="J200" s="41"/>
      <c r="K200" s="39"/>
      <c r="L200" s="40"/>
      <c r="M200" s="41"/>
      <c r="N200" s="39"/>
      <c r="O200" s="40"/>
      <c r="P200" s="41"/>
      <c r="Q200" s="39"/>
      <c r="R200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4</v>
      </c>
    </row>
    <row r="201" spans="2:18" x14ac:dyDescent="0.2">
      <c r="B201" s="29" t="s">
        <v>384</v>
      </c>
      <c r="C201" s="30" t="s">
        <v>385</v>
      </c>
      <c r="D201" s="31">
        <f>Tabla13468916243242505866748290981061141221301381461541381621701781861941621701782022102182262342422502582662742822902983063143223303383443523603683763841624[[#This Row],[STOCK]]</f>
        <v>15</v>
      </c>
      <c r="E201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01" s="30"/>
      <c r="G201" s="31">
        <v>10</v>
      </c>
      <c r="H201" s="42"/>
      <c r="I201" s="43"/>
      <c r="J201" s="44"/>
      <c r="K201" s="42">
        <v>5</v>
      </c>
      <c r="L201" s="43"/>
      <c r="M201" s="44"/>
      <c r="N201" s="42"/>
      <c r="O201" s="43"/>
      <c r="P201" s="44"/>
      <c r="Q201" s="42"/>
      <c r="R201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15</v>
      </c>
    </row>
    <row r="202" spans="2:18" x14ac:dyDescent="0.2">
      <c r="B202" s="22" t="s">
        <v>386</v>
      </c>
      <c r="C202" s="23" t="s">
        <v>387</v>
      </c>
      <c r="D202" s="24">
        <f>Tabla13468916243242505866748290981061141221301381461541381621701781861941621701782022102182262342422502582662742822902983063143223303383443523603683763841624[[#This Row],[STOCK]]</f>
        <v>242</v>
      </c>
      <c r="E202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242</v>
      </c>
      <c r="F202" s="23"/>
      <c r="G202" s="24"/>
      <c r="H202" s="39"/>
      <c r="I202" s="40"/>
      <c r="J202" s="41"/>
      <c r="K202" s="39"/>
      <c r="L202" s="40"/>
      <c r="M202" s="41"/>
      <c r="N202" s="39"/>
      <c r="O202" s="40"/>
      <c r="P202" s="41"/>
      <c r="Q202" s="39"/>
      <c r="R202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03" spans="2:18" x14ac:dyDescent="0.2">
      <c r="B203" s="29" t="s">
        <v>388</v>
      </c>
      <c r="C203" s="30" t="s">
        <v>389</v>
      </c>
      <c r="D203" s="31">
        <f>Tabla13468916243242505866748290981061141221301381461541381621701781861941621701782022102182262342422502582662742822902983063143223303383443523603683763841624[[#This Row],[STOCK]]</f>
        <v>26</v>
      </c>
      <c r="E203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24</v>
      </c>
      <c r="F203" s="30"/>
      <c r="G203" s="31"/>
      <c r="H203" s="42"/>
      <c r="I203" s="43">
        <v>2</v>
      </c>
      <c r="J203" s="44"/>
      <c r="K203" s="42"/>
      <c r="L203" s="43"/>
      <c r="M203" s="44"/>
      <c r="N203" s="42"/>
      <c r="O203" s="43"/>
      <c r="P203" s="44"/>
      <c r="Q203" s="42"/>
      <c r="R203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2</v>
      </c>
    </row>
    <row r="204" spans="2:18" x14ac:dyDescent="0.2">
      <c r="B204" s="22" t="s">
        <v>390</v>
      </c>
      <c r="C204" s="23" t="s">
        <v>391</v>
      </c>
      <c r="D204" s="24">
        <f>Tabla13468916243242505866748290981061141221301381461541381621701781861941621701782022102182262342422502582662742822902983063143223303383443523603683763841624[[#This Row],[STOCK]]</f>
        <v>0</v>
      </c>
      <c r="E204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04" s="23"/>
      <c r="G204" s="24"/>
      <c r="H204" s="39"/>
      <c r="I204" s="40"/>
      <c r="J204" s="41"/>
      <c r="K204" s="39"/>
      <c r="L204" s="40"/>
      <c r="M204" s="41"/>
      <c r="N204" s="39"/>
      <c r="O204" s="40"/>
      <c r="P204" s="41"/>
      <c r="Q204" s="39"/>
      <c r="R204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05" spans="2:18" x14ac:dyDescent="0.2">
      <c r="B205" s="29" t="s">
        <v>392</v>
      </c>
      <c r="C205" s="30" t="s">
        <v>393</v>
      </c>
      <c r="D205" s="31">
        <f>Tabla13468916243242505866748290981061141221301381461541381621701781861941621701782022102182262342422502582662742822902983063143223303383443523603683763841624[[#This Row],[STOCK]]</f>
        <v>101</v>
      </c>
      <c r="E205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98</v>
      </c>
      <c r="F205" s="30"/>
      <c r="G205" s="31"/>
      <c r="H205" s="42"/>
      <c r="I205" s="43">
        <v>2</v>
      </c>
      <c r="J205" s="44"/>
      <c r="K205" s="42">
        <v>1</v>
      </c>
      <c r="L205" s="43"/>
      <c r="M205" s="44"/>
      <c r="N205" s="42"/>
      <c r="O205" s="43"/>
      <c r="P205" s="44"/>
      <c r="Q205" s="42"/>
      <c r="R205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3</v>
      </c>
    </row>
    <row r="206" spans="2:18" x14ac:dyDescent="0.2">
      <c r="B206" s="22" t="s">
        <v>394</v>
      </c>
      <c r="C206" s="23" t="s">
        <v>395</v>
      </c>
      <c r="D206" s="24">
        <f>Tabla13468916243242505866748290981061141221301381461541381621701781861941621701782022102182262342422502582662742822902983063143223303383443523603683763841624[[#This Row],[STOCK]]</f>
        <v>13</v>
      </c>
      <c r="E206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7</v>
      </c>
      <c r="F206" s="23"/>
      <c r="G206" s="24">
        <v>13</v>
      </c>
      <c r="H206" s="39">
        <v>15</v>
      </c>
      <c r="I206" s="40">
        <v>15</v>
      </c>
      <c r="J206" s="41">
        <v>24</v>
      </c>
      <c r="K206" s="39">
        <v>12</v>
      </c>
      <c r="L206" s="40">
        <v>15</v>
      </c>
      <c r="M206" s="41">
        <v>22</v>
      </c>
      <c r="N206" s="39"/>
      <c r="O206" s="40"/>
      <c r="P206" s="41">
        <v>24</v>
      </c>
      <c r="Q206" s="39">
        <v>22</v>
      </c>
      <c r="R206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84</v>
      </c>
    </row>
    <row r="207" spans="2:18" x14ac:dyDescent="0.2">
      <c r="B207" s="29" t="s">
        <v>396</v>
      </c>
      <c r="C207" s="30" t="s">
        <v>397</v>
      </c>
      <c r="D207" s="31">
        <f>Tabla13468916243242505866748290981061141221301381461541381621701781861941621701782022102182262342422502582662742822902983063143223303383443523603683763841624[[#This Row],[STOCK]]</f>
        <v>12</v>
      </c>
      <c r="E207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12</v>
      </c>
      <c r="F207" s="30"/>
      <c r="G207" s="31"/>
      <c r="H207" s="42"/>
      <c r="I207" s="43"/>
      <c r="J207" s="44"/>
      <c r="K207" s="42"/>
      <c r="L207" s="43"/>
      <c r="M207" s="44"/>
      <c r="N207" s="42"/>
      <c r="O207" s="43"/>
      <c r="P207" s="44"/>
      <c r="Q207" s="42"/>
      <c r="R207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08" spans="2:18" x14ac:dyDescent="0.2">
      <c r="B208" s="22" t="s">
        <v>398</v>
      </c>
      <c r="C208" s="23" t="s">
        <v>399</v>
      </c>
      <c r="D208" s="24">
        <f>Tabla13468916243242505866748290981061141221301381461541381621701781861941621701782022102182262342422502582662742822902983063143223303383443523603683763841624[[#This Row],[STOCK]]</f>
        <v>0</v>
      </c>
      <c r="E208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08" s="23"/>
      <c r="G208" s="24"/>
      <c r="H208" s="39">
        <v>11</v>
      </c>
      <c r="I208" s="40">
        <v>3</v>
      </c>
      <c r="J208" s="41"/>
      <c r="K208" s="39">
        <v>5</v>
      </c>
      <c r="L208" s="40">
        <v>1</v>
      </c>
      <c r="M208" s="41">
        <v>2</v>
      </c>
      <c r="N208" s="39"/>
      <c r="O208" s="40"/>
      <c r="P208" s="41"/>
      <c r="Q208" s="39">
        <v>2</v>
      </c>
      <c r="R208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12</v>
      </c>
    </row>
    <row r="209" spans="2:18" x14ac:dyDescent="0.2">
      <c r="B209" s="29" t="s">
        <v>400</v>
      </c>
      <c r="C209" s="30" t="s">
        <v>401</v>
      </c>
      <c r="D209" s="31">
        <f>Tabla13468916243242505866748290981061141221301381461541381621701781861941621701782022102182262342422502582662742822902983063143223303383443523603683763841624[[#This Row],[STOCK]]</f>
        <v>62</v>
      </c>
      <c r="E209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58</v>
      </c>
      <c r="F209" s="30"/>
      <c r="G209" s="31"/>
      <c r="H209" s="42"/>
      <c r="I209" s="43">
        <v>4</v>
      </c>
      <c r="J209" s="44"/>
      <c r="K209" s="42"/>
      <c r="L209" s="43"/>
      <c r="M209" s="44"/>
      <c r="N209" s="42"/>
      <c r="O209" s="43"/>
      <c r="P209" s="44"/>
      <c r="Q209" s="42"/>
      <c r="R209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4</v>
      </c>
    </row>
    <row r="210" spans="2:18" x14ac:dyDescent="0.2">
      <c r="B210" s="22" t="s">
        <v>402</v>
      </c>
      <c r="C210" s="23" t="s">
        <v>403</v>
      </c>
      <c r="D210" s="24">
        <f>Tabla13468916243242505866748290981061141221301381461541381621701781861941621701782022102182262342422502582662742822902983063143223303383443523603683763841624[[#This Row],[STOCK]]</f>
        <v>0</v>
      </c>
      <c r="E210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10" s="23">
        <v>6</v>
      </c>
      <c r="G210" s="24"/>
      <c r="H210" s="39">
        <v>5</v>
      </c>
      <c r="I210" s="40">
        <v>9</v>
      </c>
      <c r="J210" s="41">
        <v>5</v>
      </c>
      <c r="K210" s="39"/>
      <c r="L210" s="40"/>
      <c r="M210" s="41">
        <v>7</v>
      </c>
      <c r="N210" s="39"/>
      <c r="O210" s="40"/>
      <c r="P210" s="41"/>
      <c r="Q210" s="39"/>
      <c r="R210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16</v>
      </c>
    </row>
    <row r="211" spans="2:18" x14ac:dyDescent="0.2">
      <c r="B211" s="29" t="s">
        <v>404</v>
      </c>
      <c r="C211" s="30" t="s">
        <v>405</v>
      </c>
      <c r="D211" s="31">
        <f>Tabla13468916243242505866748290981061141221301381461541381621701781861941621701782022102182262342422502582662742822902983063143223303383443523603683763841624[[#This Row],[STOCK]]</f>
        <v>1</v>
      </c>
      <c r="E211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11" s="30"/>
      <c r="G211" s="31">
        <v>1</v>
      </c>
      <c r="H211" s="42"/>
      <c r="I211" s="43"/>
      <c r="J211" s="44"/>
      <c r="K211" s="42"/>
      <c r="L211" s="43"/>
      <c r="M211" s="44"/>
      <c r="N211" s="42"/>
      <c r="O211" s="43"/>
      <c r="P211" s="44"/>
      <c r="Q211" s="42"/>
      <c r="R211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1</v>
      </c>
    </row>
    <row r="212" spans="2:18" x14ac:dyDescent="0.2">
      <c r="B212" s="22" t="s">
        <v>406</v>
      </c>
      <c r="C212" s="23" t="s">
        <v>407</v>
      </c>
      <c r="D212" s="24">
        <f>Tabla13468916243242505866748290981061141221301381461541381621701781861941621701782022102182262342422502582662742822902983063143223303383443523603683763841624[[#This Row],[STOCK]]</f>
        <v>243</v>
      </c>
      <c r="E212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237</v>
      </c>
      <c r="F212" s="23"/>
      <c r="G212" s="24">
        <v>1</v>
      </c>
      <c r="H212" s="39"/>
      <c r="I212" s="40"/>
      <c r="J212" s="41"/>
      <c r="K212" s="39">
        <v>1</v>
      </c>
      <c r="L212" s="40"/>
      <c r="M212" s="41">
        <v>3</v>
      </c>
      <c r="N212" s="39"/>
      <c r="O212" s="40"/>
      <c r="P212" s="41"/>
      <c r="Q212" s="39">
        <v>1</v>
      </c>
      <c r="R212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6</v>
      </c>
    </row>
    <row r="213" spans="2:18" x14ac:dyDescent="0.2">
      <c r="B213" s="29" t="s">
        <v>408</v>
      </c>
      <c r="C213" s="30" t="s">
        <v>409</v>
      </c>
      <c r="D213" s="31">
        <f>Tabla13468916243242505866748290981061141221301381461541381621701781861941621701782022102182262342422502582662742822902983063143223303383443523603683763841624[[#This Row],[STOCK]]</f>
        <v>23</v>
      </c>
      <c r="E213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28</v>
      </c>
      <c r="F213" s="30">
        <v>4</v>
      </c>
      <c r="G213" s="31">
        <v>1</v>
      </c>
      <c r="H213" s="42"/>
      <c r="I213" s="43">
        <v>10</v>
      </c>
      <c r="J213" s="44"/>
      <c r="K213" s="42"/>
      <c r="L213" s="43">
        <v>15</v>
      </c>
      <c r="M213" s="44">
        <v>3</v>
      </c>
      <c r="N213" s="42"/>
      <c r="O213" s="43"/>
      <c r="P213" s="44"/>
      <c r="Q213" s="42"/>
      <c r="R213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14</v>
      </c>
    </row>
    <row r="214" spans="2:18" s="65" customFormat="1" x14ac:dyDescent="0.2">
      <c r="B214" s="58" t="s">
        <v>410</v>
      </c>
      <c r="C214" s="59" t="s">
        <v>411</v>
      </c>
      <c r="D214" s="60">
        <f>Tabla13468916243242505866748290981061141221301381461541381621701781861941621701782022102182262342422502582662742822902983063143223303383443523603683763841624[[#This Row],[STOCK]]</f>
        <v>25</v>
      </c>
      <c r="E214" s="61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57</v>
      </c>
      <c r="F214" s="59">
        <v>7</v>
      </c>
      <c r="G214" s="60">
        <v>21</v>
      </c>
      <c r="H214" s="62">
        <v>37</v>
      </c>
      <c r="I214" s="63">
        <v>35</v>
      </c>
      <c r="J214" s="64">
        <v>27</v>
      </c>
      <c r="K214" s="62">
        <v>29</v>
      </c>
      <c r="L214" s="63">
        <v>47</v>
      </c>
      <c r="M214" s="64">
        <v>17</v>
      </c>
      <c r="N214" s="62"/>
      <c r="O214" s="63"/>
      <c r="P214" s="64">
        <v>36</v>
      </c>
      <c r="Q214" s="62">
        <v>20</v>
      </c>
      <c r="R214" s="59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122</v>
      </c>
    </row>
    <row r="215" spans="2:18" ht="13.5" customHeight="1" x14ac:dyDescent="0.2">
      <c r="B215" s="29" t="s">
        <v>412</v>
      </c>
      <c r="C215" s="30" t="s">
        <v>413</v>
      </c>
      <c r="D215" s="31">
        <f>Tabla13468916243242505866748290981061141221301381461541381621701781861941621701782022102182262342422502582662742822902983063143223303383443523603683763841624[[#This Row],[STOCK]]</f>
        <v>8</v>
      </c>
      <c r="E215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15" s="30"/>
      <c r="G215" s="31">
        <v>1</v>
      </c>
      <c r="H215" s="42"/>
      <c r="I215" s="43">
        <v>5</v>
      </c>
      <c r="J215" s="44"/>
      <c r="K215" s="42"/>
      <c r="L215" s="43"/>
      <c r="M215" s="44">
        <v>2</v>
      </c>
      <c r="N215" s="42"/>
      <c r="O215" s="43"/>
      <c r="P215" s="44"/>
      <c r="Q215" s="42"/>
      <c r="R215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8</v>
      </c>
    </row>
    <row r="216" spans="2:18" x14ac:dyDescent="0.2">
      <c r="B216" s="22" t="s">
        <v>414</v>
      </c>
      <c r="C216" s="23" t="s">
        <v>415</v>
      </c>
      <c r="D216" s="24">
        <f>Tabla13468916243242505866748290981061141221301381461541381621701781861941621701782022102182262342422502582662742822902983063143223303383443523603683763841624[[#This Row],[STOCK]]</f>
        <v>50</v>
      </c>
      <c r="E216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11</v>
      </c>
      <c r="F216" s="23"/>
      <c r="G216" s="24">
        <v>9</v>
      </c>
      <c r="H216" s="39"/>
      <c r="I216" s="40">
        <v>17</v>
      </c>
      <c r="J216" s="41"/>
      <c r="K216" s="39">
        <v>11</v>
      </c>
      <c r="L216" s="40">
        <v>3</v>
      </c>
      <c r="M216" s="41">
        <v>5</v>
      </c>
      <c r="N216" s="39"/>
      <c r="O216" s="40"/>
      <c r="P216" s="41"/>
      <c r="Q216" s="39"/>
      <c r="R216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42</v>
      </c>
    </row>
    <row r="217" spans="2:18" x14ac:dyDescent="0.2">
      <c r="B217" s="29" t="s">
        <v>416</v>
      </c>
      <c r="C217" s="30" t="s">
        <v>417</v>
      </c>
      <c r="D217" s="31">
        <f>Tabla13468916243242505866748290981061141221301381461541381621701781861941621701782022102182262342422502582662742822902983063143223303383443523603683763841624[[#This Row],[STOCK]]</f>
        <v>0</v>
      </c>
      <c r="E217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2</v>
      </c>
      <c r="F217" s="30">
        <v>1</v>
      </c>
      <c r="G217" s="31"/>
      <c r="H217" s="42">
        <v>8</v>
      </c>
      <c r="I217" s="43">
        <v>7</v>
      </c>
      <c r="J217" s="44"/>
      <c r="K217" s="42"/>
      <c r="L217" s="43"/>
      <c r="M217" s="44"/>
      <c r="N217" s="42"/>
      <c r="O217" s="43"/>
      <c r="P217" s="44"/>
      <c r="Q217" s="42"/>
      <c r="R217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7</v>
      </c>
    </row>
    <row r="218" spans="2:18" ht="13.5" customHeight="1" x14ac:dyDescent="0.2">
      <c r="B218" s="22" t="s">
        <v>418</v>
      </c>
      <c r="C218" s="23" t="s">
        <v>419</v>
      </c>
      <c r="D218" s="24">
        <f>Tabla13468916243242505866748290981061141221301381461541381621701781861941621701782022102182262342422502582662742822902983063143223303383443523603683763841624[[#This Row],[STOCK]]</f>
        <v>11</v>
      </c>
      <c r="E218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10</v>
      </c>
      <c r="F218" s="23">
        <v>6</v>
      </c>
      <c r="G218" s="24">
        <v>2</v>
      </c>
      <c r="H218" s="39"/>
      <c r="I218" s="40">
        <v>5</v>
      </c>
      <c r="J218" s="41"/>
      <c r="K218" s="39"/>
      <c r="L218" s="40"/>
      <c r="M218" s="41"/>
      <c r="N218" s="39"/>
      <c r="O218" s="40"/>
      <c r="P218" s="41"/>
      <c r="Q218" s="39"/>
      <c r="R218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7</v>
      </c>
    </row>
    <row r="219" spans="2:18" ht="12" customHeight="1" x14ac:dyDescent="0.2">
      <c r="B219" s="29" t="s">
        <v>420</v>
      </c>
      <c r="C219" s="30" t="s">
        <v>421</v>
      </c>
      <c r="D219" s="31">
        <f>Tabla13468916243242505866748290981061141221301381461541381621701781861941621701782022102182262342422502582662742822902983063143223303383443523603683763841624[[#This Row],[STOCK]]</f>
        <v>0</v>
      </c>
      <c r="E219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19" s="30">
        <v>3</v>
      </c>
      <c r="G219" s="31">
        <v>2</v>
      </c>
      <c r="H219" s="42">
        <v>5</v>
      </c>
      <c r="I219" s="43">
        <v>3</v>
      </c>
      <c r="J219" s="44"/>
      <c r="K219" s="42">
        <v>3</v>
      </c>
      <c r="L219" s="43"/>
      <c r="M219" s="44"/>
      <c r="N219" s="42"/>
      <c r="O219" s="43"/>
      <c r="P219" s="44"/>
      <c r="Q219" s="42"/>
      <c r="R219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8</v>
      </c>
    </row>
    <row r="220" spans="2:18" ht="13.5" customHeight="1" x14ac:dyDescent="0.2">
      <c r="B220" s="22" t="s">
        <v>422</v>
      </c>
      <c r="C220" s="23" t="s">
        <v>423</v>
      </c>
      <c r="D220" s="24">
        <f>Tabla13468916243242505866748290981061141221301381461541381621701781861941621701782022102182262342422502582662742822902983063143223303383443523603683763841624[[#This Row],[STOCK]]</f>
        <v>28</v>
      </c>
      <c r="E220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20" s="23"/>
      <c r="G220" s="24">
        <v>10</v>
      </c>
      <c r="H220" s="39"/>
      <c r="I220" s="40">
        <v>14</v>
      </c>
      <c r="J220" s="41"/>
      <c r="K220" s="39">
        <v>4</v>
      </c>
      <c r="L220" s="40"/>
      <c r="M220" s="41"/>
      <c r="N220" s="39"/>
      <c r="O220" s="40"/>
      <c r="P220" s="41"/>
      <c r="Q220" s="39"/>
      <c r="R220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28</v>
      </c>
    </row>
    <row r="221" spans="2:18" x14ac:dyDescent="0.2">
      <c r="B221" s="29" t="s">
        <v>424</v>
      </c>
      <c r="C221" s="30" t="s">
        <v>425</v>
      </c>
      <c r="D221" s="31">
        <f>Tabla13468916243242505866748290981061141221301381461541381621701781861941621701782022102182262342422502582662742822902983063143223303383443523603683763841624[[#This Row],[STOCK]]</f>
        <v>0</v>
      </c>
      <c r="E221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21" s="30"/>
      <c r="G221" s="31"/>
      <c r="H221" s="42"/>
      <c r="I221" s="43"/>
      <c r="J221" s="44"/>
      <c r="K221" s="42"/>
      <c r="L221" s="43"/>
      <c r="M221" s="44"/>
      <c r="N221" s="42"/>
      <c r="O221" s="43"/>
      <c r="P221" s="44"/>
      <c r="Q221" s="42"/>
      <c r="R221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22" spans="2:18" x14ac:dyDescent="0.2">
      <c r="B222" s="22" t="s">
        <v>426</v>
      </c>
      <c r="C222" s="23" t="s">
        <v>427</v>
      </c>
      <c r="D222" s="24">
        <f>Tabla13468916243242505866748290981061141221301381461541381621701781861941621701782022102182262342422502582662742822902983063143223303383443523603683763841624[[#This Row],[STOCK]]</f>
        <v>28</v>
      </c>
      <c r="E222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24</v>
      </c>
      <c r="F222" s="23"/>
      <c r="G222" s="24"/>
      <c r="H222" s="39"/>
      <c r="I222" s="40">
        <v>2</v>
      </c>
      <c r="J222" s="41"/>
      <c r="K222" s="39"/>
      <c r="L222" s="40"/>
      <c r="M222" s="41">
        <v>2</v>
      </c>
      <c r="N222" s="39"/>
      <c r="O222" s="40"/>
      <c r="P222" s="41"/>
      <c r="Q222" s="39"/>
      <c r="R222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4</v>
      </c>
    </row>
    <row r="223" spans="2:18" x14ac:dyDescent="0.2">
      <c r="B223" s="29" t="s">
        <v>428</v>
      </c>
      <c r="C223" s="30" t="s">
        <v>429</v>
      </c>
      <c r="D223" s="31">
        <f>Tabla13468916243242505866748290981061141221301381461541381621701781861941621701782022102182262342422502582662742822902983063143223303383443523603683763841624[[#This Row],[STOCK]]</f>
        <v>0</v>
      </c>
      <c r="E223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23" s="30"/>
      <c r="G223" s="31"/>
      <c r="H223" s="42"/>
      <c r="I223" s="43"/>
      <c r="J223" s="44"/>
      <c r="K223" s="42"/>
      <c r="L223" s="43"/>
      <c r="M223" s="44"/>
      <c r="N223" s="42"/>
      <c r="O223" s="43"/>
      <c r="P223" s="44"/>
      <c r="Q223" s="42"/>
      <c r="R223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24" spans="2:18" x14ac:dyDescent="0.2">
      <c r="B224" s="22" t="s">
        <v>430</v>
      </c>
      <c r="C224" s="23" t="s">
        <v>431</v>
      </c>
      <c r="D224" s="24">
        <f>Tabla13468916243242505866748290981061141221301381461541381621701781861941621701782022102182262342422502582662742822902983063143223303383443523603683763841624[[#This Row],[STOCK]]</f>
        <v>32</v>
      </c>
      <c r="E224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27</v>
      </c>
      <c r="F224" s="23"/>
      <c r="G224" s="24"/>
      <c r="H224" s="39"/>
      <c r="I224" s="40">
        <v>2</v>
      </c>
      <c r="J224" s="41"/>
      <c r="K224" s="39"/>
      <c r="L224" s="40"/>
      <c r="M224" s="41">
        <v>2</v>
      </c>
      <c r="N224" s="39"/>
      <c r="O224" s="40"/>
      <c r="P224" s="41"/>
      <c r="Q224" s="39">
        <v>1</v>
      </c>
      <c r="R224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5</v>
      </c>
    </row>
    <row r="225" spans="2:18" x14ac:dyDescent="0.2">
      <c r="B225" s="29" t="s">
        <v>432</v>
      </c>
      <c r="C225" s="30" t="s">
        <v>433</v>
      </c>
      <c r="D225" s="31">
        <f>Tabla13468916243242505866748290981061141221301381461541381621701781861941621701782022102182262342422502582662742822902983063143223303383443523603683763841624[[#This Row],[STOCK]]</f>
        <v>114</v>
      </c>
      <c r="E225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108</v>
      </c>
      <c r="F225" s="30"/>
      <c r="G225" s="31"/>
      <c r="H225" s="42"/>
      <c r="I225" s="43"/>
      <c r="J225" s="44"/>
      <c r="K225" s="42">
        <v>3</v>
      </c>
      <c r="L225" s="43"/>
      <c r="M225" s="44">
        <v>2</v>
      </c>
      <c r="N225" s="42"/>
      <c r="O225" s="43"/>
      <c r="P225" s="44"/>
      <c r="Q225" s="42">
        <v>1</v>
      </c>
      <c r="R225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6</v>
      </c>
    </row>
    <row r="226" spans="2:18" x14ac:dyDescent="0.2">
      <c r="B226" s="22" t="s">
        <v>434</v>
      </c>
      <c r="C226" s="23" t="s">
        <v>435</v>
      </c>
      <c r="D226" s="24">
        <f>Tabla13468916243242505866748290981061141221301381461541381621701781861941621701782022102182262342422502582662742822902983063143223303383443523603683763841624[[#This Row],[STOCK]]</f>
        <v>129</v>
      </c>
      <c r="E226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124</v>
      </c>
      <c r="F226" s="23"/>
      <c r="G226" s="24"/>
      <c r="H226" s="39"/>
      <c r="I226" s="40"/>
      <c r="J226" s="41"/>
      <c r="K226" s="39">
        <v>2</v>
      </c>
      <c r="L226" s="40"/>
      <c r="M226" s="41">
        <v>2</v>
      </c>
      <c r="N226" s="39"/>
      <c r="O226" s="40"/>
      <c r="P226" s="41"/>
      <c r="Q226" s="39">
        <v>1</v>
      </c>
      <c r="R226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5</v>
      </c>
    </row>
    <row r="227" spans="2:18" x14ac:dyDescent="0.2">
      <c r="B227" s="29" t="s">
        <v>436</v>
      </c>
      <c r="C227" s="30" t="s">
        <v>437</v>
      </c>
      <c r="D227" s="31">
        <f>Tabla13468916243242505866748290981061141221301381461541381621701781861941621701782022102182262342422502582662742822902983063143223303383443523603683763841624[[#This Row],[STOCK]]</f>
        <v>23</v>
      </c>
      <c r="E227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20</v>
      </c>
      <c r="F227" s="30"/>
      <c r="G227" s="31">
        <v>2</v>
      </c>
      <c r="H227" s="42"/>
      <c r="I227" s="43"/>
      <c r="J227" s="44"/>
      <c r="K227" s="42">
        <v>1</v>
      </c>
      <c r="L227" s="43"/>
      <c r="M227" s="44"/>
      <c r="N227" s="42"/>
      <c r="O227" s="43"/>
      <c r="P227" s="44"/>
      <c r="Q227" s="42"/>
      <c r="R227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3</v>
      </c>
    </row>
    <row r="228" spans="2:18" x14ac:dyDescent="0.2">
      <c r="B228" s="22" t="s">
        <v>438</v>
      </c>
      <c r="C228" s="23" t="s">
        <v>439</v>
      </c>
      <c r="D228" s="24">
        <f>Tabla13468916243242505866748290981061141221301381461541381621701781861941621701782022102182262342422502582662742822902983063143223303383443523603683763841624[[#This Row],[STOCK]]</f>
        <v>0</v>
      </c>
      <c r="E228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28" s="23"/>
      <c r="G228" s="24"/>
      <c r="H228" s="39"/>
      <c r="I228" s="40"/>
      <c r="J228" s="41"/>
      <c r="K228" s="39"/>
      <c r="L228" s="40"/>
      <c r="M228" s="41"/>
      <c r="N228" s="39"/>
      <c r="O228" s="40"/>
      <c r="P228" s="41"/>
      <c r="Q228" s="39"/>
      <c r="R228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29" spans="2:18" x14ac:dyDescent="0.2">
      <c r="B229" s="29" t="s">
        <v>440</v>
      </c>
      <c r="C229" s="30" t="s">
        <v>441</v>
      </c>
      <c r="D229" s="31">
        <f>Tabla13468916243242505866748290981061141221301381461541381621701781861941621701782022102182262342422502582662742822902983063143223303383443523603683763841624[[#This Row],[STOCK]]</f>
        <v>0</v>
      </c>
      <c r="E229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29" s="30"/>
      <c r="G229" s="31"/>
      <c r="H229" s="42"/>
      <c r="I229" s="43"/>
      <c r="J229" s="44"/>
      <c r="K229" s="42"/>
      <c r="L229" s="43"/>
      <c r="M229" s="44"/>
      <c r="N229" s="42"/>
      <c r="O229" s="43"/>
      <c r="P229" s="44"/>
      <c r="Q229" s="42"/>
      <c r="R229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30" spans="2:18" x14ac:dyDescent="0.2">
      <c r="B230" s="22" t="s">
        <v>442</v>
      </c>
      <c r="C230" s="23" t="s">
        <v>443</v>
      </c>
      <c r="D230" s="24">
        <f>Tabla13468916243242505866748290981061141221301381461541381621701781861941621701782022102182262342422502582662742822902983063143223303383443523603683763841624[[#This Row],[STOCK]]</f>
        <v>0</v>
      </c>
      <c r="E230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30" s="23"/>
      <c r="G230" s="24"/>
      <c r="H230" s="39"/>
      <c r="I230" s="40"/>
      <c r="J230" s="41"/>
      <c r="K230" s="39"/>
      <c r="L230" s="40"/>
      <c r="M230" s="41"/>
      <c r="N230" s="39"/>
      <c r="O230" s="40"/>
      <c r="P230" s="41"/>
      <c r="Q230" s="39"/>
      <c r="R230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31" spans="2:18" x14ac:dyDescent="0.2">
      <c r="B231" s="29" t="s">
        <v>444</v>
      </c>
      <c r="C231" s="30" t="s">
        <v>445</v>
      </c>
      <c r="D231" s="31">
        <f>Tabla13468916243242505866748290981061141221301381461541381621701781861941621701782022102182262342422502582662742822902983063143223303383443523603683763841624[[#This Row],[STOCK]]</f>
        <v>0</v>
      </c>
      <c r="E231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31" s="30"/>
      <c r="G231" s="31"/>
      <c r="H231" s="42"/>
      <c r="I231" s="43"/>
      <c r="J231" s="44"/>
      <c r="K231" s="42"/>
      <c r="L231" s="43"/>
      <c r="M231" s="44"/>
      <c r="N231" s="42"/>
      <c r="O231" s="43"/>
      <c r="P231" s="44"/>
      <c r="Q231" s="42"/>
      <c r="R231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32" spans="2:18" x14ac:dyDescent="0.2">
      <c r="B232" s="22" t="s">
        <v>446</v>
      </c>
      <c r="C232" s="23" t="s">
        <v>447</v>
      </c>
      <c r="D232" s="24">
        <f>Tabla13468916243242505866748290981061141221301381461541381621701781861941621701782022102182262342422502582662742822902983063143223303383443523603683763841624[[#This Row],[STOCK]]</f>
        <v>0</v>
      </c>
      <c r="E232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32" s="23"/>
      <c r="G232" s="24"/>
      <c r="H232" s="39"/>
      <c r="I232" s="40"/>
      <c r="J232" s="41"/>
      <c r="K232" s="39"/>
      <c r="L232" s="40"/>
      <c r="M232" s="41"/>
      <c r="N232" s="39"/>
      <c r="O232" s="40"/>
      <c r="P232" s="41"/>
      <c r="Q232" s="39"/>
      <c r="R232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33" spans="2:18" x14ac:dyDescent="0.2">
      <c r="B233" s="29" t="s">
        <v>448</v>
      </c>
      <c r="C233" s="30" t="s">
        <v>449</v>
      </c>
      <c r="D233" s="31">
        <f>Tabla13468916243242505866748290981061141221301381461541381621701781861941621701782022102182262342422502582662742822902983063143223303383443523603683763841624[[#This Row],[STOCK]]</f>
        <v>0</v>
      </c>
      <c r="E233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33" s="30"/>
      <c r="G233" s="31"/>
      <c r="H233" s="42"/>
      <c r="I233" s="43"/>
      <c r="J233" s="44"/>
      <c r="K233" s="42"/>
      <c r="L233" s="43"/>
      <c r="M233" s="44"/>
      <c r="N233" s="42"/>
      <c r="O233" s="43"/>
      <c r="P233" s="44"/>
      <c r="Q233" s="42"/>
      <c r="R233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34" spans="2:18" x14ac:dyDescent="0.2">
      <c r="B234" s="22" t="s">
        <v>450</v>
      </c>
      <c r="C234" s="23" t="s">
        <v>451</v>
      </c>
      <c r="D234" s="24">
        <f>Tabla13468916243242505866748290981061141221301381461541381621701781861941621701782022102182262342422502582662742822902983063143223303383443523603683763841624[[#This Row],[STOCK]]</f>
        <v>0</v>
      </c>
      <c r="E234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34" s="23"/>
      <c r="G234" s="24"/>
      <c r="H234" s="39"/>
      <c r="I234" s="40"/>
      <c r="J234" s="41"/>
      <c r="K234" s="39"/>
      <c r="L234" s="40"/>
      <c r="M234" s="41"/>
      <c r="N234" s="39"/>
      <c r="O234" s="40"/>
      <c r="P234" s="41"/>
      <c r="Q234" s="39"/>
      <c r="R234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35" spans="2:18" x14ac:dyDescent="0.2">
      <c r="B235" s="29" t="s">
        <v>452</v>
      </c>
      <c r="C235" s="30" t="s">
        <v>453</v>
      </c>
      <c r="D235" s="31">
        <f>Tabla13468916243242505866748290981061141221301381461541381621701781861941621701782022102182262342422502582662742822902983063143223303383443523603683763841624[[#This Row],[STOCK]]</f>
        <v>0</v>
      </c>
      <c r="E235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35" s="30"/>
      <c r="G235" s="31"/>
      <c r="H235" s="42"/>
      <c r="I235" s="43"/>
      <c r="J235" s="44"/>
      <c r="K235" s="42"/>
      <c r="L235" s="43"/>
      <c r="M235" s="44"/>
      <c r="N235" s="42"/>
      <c r="O235" s="43"/>
      <c r="P235" s="44"/>
      <c r="Q235" s="42"/>
      <c r="R235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36" spans="2:18" x14ac:dyDescent="0.2">
      <c r="B236" s="22" t="s">
        <v>454</v>
      </c>
      <c r="C236" s="23" t="s">
        <v>455</v>
      </c>
      <c r="D236" s="24">
        <f>Tabla13468916243242505866748290981061141221301381461541381621701781861941621701782022102182262342422502582662742822902983063143223303383443523603683763841624[[#This Row],[STOCK]]</f>
        <v>0</v>
      </c>
      <c r="E236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36" s="23"/>
      <c r="G236" s="24"/>
      <c r="H236" s="39"/>
      <c r="I236" s="40"/>
      <c r="J236" s="41"/>
      <c r="K236" s="39"/>
      <c r="L236" s="40"/>
      <c r="M236" s="41"/>
      <c r="N236" s="39"/>
      <c r="O236" s="40"/>
      <c r="P236" s="41"/>
      <c r="Q236" s="39"/>
      <c r="R236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37" spans="2:18" x14ac:dyDescent="0.2">
      <c r="B237" s="29" t="s">
        <v>456</v>
      </c>
      <c r="C237" s="30" t="s">
        <v>457</v>
      </c>
      <c r="D237" s="31">
        <f>Tabla13468916243242505866748290981061141221301381461541381621701781861941621701782022102182262342422502582662742822902983063143223303383443523603683763841624[[#This Row],[STOCK]]</f>
        <v>0</v>
      </c>
      <c r="E237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37" s="30"/>
      <c r="G237" s="31"/>
      <c r="H237" s="42"/>
      <c r="I237" s="43"/>
      <c r="J237" s="44"/>
      <c r="K237" s="42"/>
      <c r="L237" s="43"/>
      <c r="M237" s="44"/>
      <c r="N237" s="42"/>
      <c r="O237" s="43"/>
      <c r="P237" s="44"/>
      <c r="Q237" s="42"/>
      <c r="R237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38" spans="2:18" x14ac:dyDescent="0.2">
      <c r="B238" s="22" t="s">
        <v>458</v>
      </c>
      <c r="C238" s="23" t="s">
        <v>459</v>
      </c>
      <c r="D238" s="24">
        <f>Tabla13468916243242505866748290981061141221301381461541381621701781861941621701782022102182262342422502582662742822902983063143223303383443523603683763841624[[#This Row],[STOCK]]</f>
        <v>0</v>
      </c>
      <c r="E238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38" s="23"/>
      <c r="G238" s="24"/>
      <c r="H238" s="39"/>
      <c r="I238" s="40"/>
      <c r="J238" s="41"/>
      <c r="K238" s="39"/>
      <c r="L238" s="40"/>
      <c r="M238" s="41"/>
      <c r="N238" s="39"/>
      <c r="O238" s="40"/>
      <c r="P238" s="41"/>
      <c r="Q238" s="39"/>
      <c r="R238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39" spans="2:18" x14ac:dyDescent="0.2">
      <c r="B239" s="29" t="s">
        <v>460</v>
      </c>
      <c r="C239" s="30" t="s">
        <v>461</v>
      </c>
      <c r="D239" s="31">
        <f>Tabla13468916243242505866748290981061141221301381461541381621701781861941621701782022102182262342422502582662742822902983063143223303383443523603683763841624[[#This Row],[STOCK]]</f>
        <v>0</v>
      </c>
      <c r="E239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39" s="30"/>
      <c r="G239" s="31"/>
      <c r="H239" s="42"/>
      <c r="I239" s="43"/>
      <c r="J239" s="44"/>
      <c r="K239" s="42"/>
      <c r="L239" s="43"/>
      <c r="M239" s="44"/>
      <c r="N239" s="42"/>
      <c r="O239" s="43"/>
      <c r="P239" s="44"/>
      <c r="Q239" s="42"/>
      <c r="R239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40" spans="2:18" x14ac:dyDescent="0.2">
      <c r="B240" s="22" t="s">
        <v>462</v>
      </c>
      <c r="C240" s="23" t="s">
        <v>463</v>
      </c>
      <c r="D240" s="24">
        <f>Tabla13468916243242505866748290981061141221301381461541381621701781861941621701782022102182262342422502582662742822902983063143223303383443523603683763841624[[#This Row],[STOCK]]</f>
        <v>0</v>
      </c>
      <c r="E240" s="25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40" s="23"/>
      <c r="G240" s="24"/>
      <c r="H240" s="39"/>
      <c r="I240" s="40"/>
      <c r="J240" s="41"/>
      <c r="K240" s="39"/>
      <c r="L240" s="40"/>
      <c r="M240" s="41"/>
      <c r="N240" s="39"/>
      <c r="O240" s="40"/>
      <c r="P240" s="41"/>
      <c r="Q240" s="39"/>
      <c r="R240" s="23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41" spans="2:18" x14ac:dyDescent="0.2">
      <c r="B241" s="29" t="s">
        <v>464</v>
      </c>
      <c r="C241" s="30" t="s">
        <v>465</v>
      </c>
      <c r="D241" s="31">
        <f>Tabla13468916243242505866748290981061141221301381461541381621701781861941621701782022102182262342422502582662742822902983063143223303383443523603683763841624[[#This Row],[STOCK]]</f>
        <v>0</v>
      </c>
      <c r="E241" s="32">
        <f>Tabla1346891624324250586674829098106114122130138146154138162170178186194162170178202210218226234242250258266274282290298306314322330338344352360368376384162432[[#This Row],[INVENTARIO INICIAL]]+Tabla1346891624324250586674829098106114122130138146154138162170178186194162170178202210218226234242250258266274282290298306314322330338344352360368376384162432[[#This Row],[INGRESO LUNES]]-Tabla1346891624324250586674829098106114122130138146154138162170178186194162170178202210218226234242250258266274282290298306314322330338344352360368376384162432[[#This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Row],[INGRESO MARTES]]-Tabla1346891624324250586674829098106114122130138146154138162170178186194162170178202210218226234242250258266274282290298306314322330338344352360368376384162432[[#This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Row],[INGRESO MIERCOLES]]-Tabla1346891624324250586674829098106114122130138146154138162170178186194162170178202210218226234242250258266274282290298306314322330338344352360368376384162432[[#This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Row],[INGRESO JUEVES]]-Tabla1346891624324250586674829098106114122130138146154138162170178186194162170178202210218226234242250258266274282290298306314322330338344352360368376384162432[[#This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Row],[INGRESO VIERNES]]-Tabla1346891624324250586674829098106114122130138146154138162170178186194162170178202210218226234242250258266274282290298306314322330338344352360368376384162432[[#This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Row],[INGRESO SABADO]]-Tabla1346891624324250586674829098106114122130138146154138162170178186194162170178202210218226234242250258266274282290298306314322330338344352360368376384162432[[#This Row],[SALIDA SABADO]]</f>
        <v>0</v>
      </c>
      <c r="F241" s="30"/>
      <c r="G241" s="31"/>
      <c r="H241" s="42"/>
      <c r="I241" s="43"/>
      <c r="J241" s="44"/>
      <c r="K241" s="42"/>
      <c r="L241" s="43"/>
      <c r="M241" s="44"/>
      <c r="N241" s="42"/>
      <c r="O241" s="43"/>
      <c r="P241" s="44"/>
      <c r="Q241" s="42"/>
      <c r="R241" s="30">
        <f>Tabla1346891624324250586674829098106114122130138146154138162170178186194162170178202210218226234242250258266274282290298306314322330338344352360368376384162432[[#This Row],[VENTA LUNES]]+Tabla1346891624324250586674829098106114122130138146154138162170178186194162170178202210218226234242250258266274282290298306314322330338344352360368376384162432[[#This Row],[VENTA MARTES]]+Tabla1346891624324250586674829098106114122130138146154138162170178186194162170178202210218226234242250258266274282290298306314322330338344352360368376384162432[[#This Row],[VENTA MIERCOLES]]+Tabla1346891624324250586674829098106114122130138146154138162170178186194162170178202210218226234242250258266274282290298306314322330338344352360368376384162432[[#This Row],[VENTA JUEVES]]+Tabla1346891624324250586674829098106114122130138146154138162170178186194162170178202210218226234242250258266274282290298306314322330338344352360368376384162432[[#This Row],[SALIDA VIERNES]]+Tabla1346891624324250586674829098106114122130138146154138162170178186194162170178202210218226234242250258266274282290298306314322330338344352360368376384162432[[#This Row],[SALIDA SABADO]]</f>
        <v>0</v>
      </c>
    </row>
    <row r="243" spans="2:18" s="54" customFormat="1" ht="38.25" x14ac:dyDescent="0.2">
      <c r="B243" s="17" t="s">
        <v>466</v>
      </c>
      <c r="C243" s="17" t="s">
        <v>5</v>
      </c>
      <c r="D243" s="17" t="s">
        <v>6</v>
      </c>
      <c r="E243" s="55" t="s">
        <v>7</v>
      </c>
      <c r="F243" s="17" t="s">
        <v>8</v>
      </c>
      <c r="G243" s="17" t="s">
        <v>51</v>
      </c>
      <c r="H243" s="17" t="s">
        <v>10</v>
      </c>
      <c r="I243" s="17" t="s">
        <v>11</v>
      </c>
      <c r="J243" s="17" t="s">
        <v>12</v>
      </c>
      <c r="K243" s="17" t="s">
        <v>13</v>
      </c>
      <c r="L243" s="17" t="s">
        <v>14</v>
      </c>
      <c r="M243" s="17" t="s">
        <v>15</v>
      </c>
      <c r="N243" s="17" t="s">
        <v>16</v>
      </c>
      <c r="O243" s="17" t="s">
        <v>17</v>
      </c>
      <c r="P243" s="17" t="s">
        <v>18</v>
      </c>
      <c r="Q243" s="17" t="s">
        <v>19</v>
      </c>
      <c r="R243" s="17" t="s">
        <v>20</v>
      </c>
    </row>
    <row r="244" spans="2:18" x14ac:dyDescent="0.2">
      <c r="B244" s="29" t="s">
        <v>467</v>
      </c>
      <c r="C244" s="30" t="s">
        <v>468</v>
      </c>
      <c r="D244" s="31">
        <f>Tabla1346891017253343515967758391991071151231311391471551391631711791871951631711792032112192272352432512592672752832912993073153233313393453533613693773851725[[#This Row],[STOCK]]</f>
        <v>257</v>
      </c>
      <c r="E244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244</v>
      </c>
      <c r="F244" s="30"/>
      <c r="G244" s="31">
        <v>5</v>
      </c>
      <c r="H244" s="42"/>
      <c r="I244" s="43"/>
      <c r="J244" s="44"/>
      <c r="K244" s="42">
        <v>8</v>
      </c>
      <c r="L244" s="43"/>
      <c r="M244" s="44"/>
      <c r="N244" s="42"/>
      <c r="O244" s="43"/>
      <c r="P244" s="44"/>
      <c r="Q244" s="42"/>
      <c r="R244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13</v>
      </c>
    </row>
    <row r="245" spans="2:18" x14ac:dyDescent="0.2">
      <c r="B245" s="22" t="s">
        <v>469</v>
      </c>
      <c r="C245" s="23" t="s">
        <v>470</v>
      </c>
      <c r="D245" s="24">
        <f>Tabla1346891017253343515967758391991071151231311391471551391631711791871951631711792032112192272352432512592672752832912993073153233313393453533613693773851725[[#This Row],[STOCK]]</f>
        <v>289</v>
      </c>
      <c r="E245" s="25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273</v>
      </c>
      <c r="F245" s="23"/>
      <c r="G245" s="24">
        <v>5</v>
      </c>
      <c r="H245" s="39"/>
      <c r="I245" s="40"/>
      <c r="J245" s="41"/>
      <c r="K245" s="39">
        <v>11</v>
      </c>
      <c r="L245" s="40"/>
      <c r="M245" s="41"/>
      <c r="N245" s="39"/>
      <c r="O245" s="40"/>
      <c r="P245" s="41"/>
      <c r="Q245" s="39"/>
      <c r="R245" s="23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16</v>
      </c>
    </row>
    <row r="246" spans="2:18" x14ac:dyDescent="0.2">
      <c r="B246" s="29" t="s">
        <v>471</v>
      </c>
      <c r="C246" s="30" t="s">
        <v>472</v>
      </c>
      <c r="D246" s="31">
        <f>Tabla1346891017253343515967758391991071151231311391471551391631711791871951631711792032112192272352432512592672752832912993073153233313393453533613693773851725[[#This Row],[STOCK]]</f>
        <v>209</v>
      </c>
      <c r="E246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200</v>
      </c>
      <c r="F246" s="30"/>
      <c r="G246" s="31">
        <v>5</v>
      </c>
      <c r="H246" s="42"/>
      <c r="I246" s="43">
        <v>1</v>
      </c>
      <c r="J246" s="44"/>
      <c r="K246" s="42">
        <v>3</v>
      </c>
      <c r="L246" s="43"/>
      <c r="M246" s="44"/>
      <c r="N246" s="42"/>
      <c r="O246" s="43"/>
      <c r="P246" s="44"/>
      <c r="Q246" s="42"/>
      <c r="R246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9</v>
      </c>
    </row>
    <row r="247" spans="2:18" x14ac:dyDescent="0.2">
      <c r="B247" s="22" t="s">
        <v>473</v>
      </c>
      <c r="C247" s="23" t="s">
        <v>474</v>
      </c>
      <c r="D247" s="24">
        <f>Tabla1346891017253343515967758391991071151231311391471551391631711791871951631711792032112192272352432512592672752832912993073153233313393453533613693773851725[[#This Row],[STOCK]]</f>
        <v>182</v>
      </c>
      <c r="E247" s="25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161</v>
      </c>
      <c r="F247" s="23"/>
      <c r="G247" s="24">
        <v>5</v>
      </c>
      <c r="H247" s="39"/>
      <c r="I247" s="40"/>
      <c r="J247" s="41"/>
      <c r="K247" s="39">
        <v>16</v>
      </c>
      <c r="L247" s="40"/>
      <c r="M247" s="41"/>
      <c r="N247" s="39"/>
      <c r="O247" s="40"/>
      <c r="P247" s="41"/>
      <c r="Q247" s="39"/>
      <c r="R247" s="23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21</v>
      </c>
    </row>
    <row r="248" spans="2:18" x14ac:dyDescent="0.2">
      <c r="B248" s="29" t="s">
        <v>475</v>
      </c>
      <c r="C248" s="30" t="s">
        <v>476</v>
      </c>
      <c r="D248" s="31">
        <f>Tabla1346891017253343515967758391991071151231311391471551391631711791871951631711792032112192272352432512592672752832912993073153233313393453533613693773851725[[#This Row],[STOCK]]</f>
        <v>609</v>
      </c>
      <c r="E248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596</v>
      </c>
      <c r="F248" s="30"/>
      <c r="G248" s="31">
        <v>5</v>
      </c>
      <c r="H248" s="42"/>
      <c r="I248" s="43"/>
      <c r="J248" s="44"/>
      <c r="K248" s="42">
        <v>8</v>
      </c>
      <c r="L248" s="43"/>
      <c r="M248" s="44"/>
      <c r="N248" s="42"/>
      <c r="O248" s="43"/>
      <c r="P248" s="44"/>
      <c r="Q248" s="42"/>
      <c r="R248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13</v>
      </c>
    </row>
    <row r="249" spans="2:18" x14ac:dyDescent="0.2">
      <c r="B249" s="22" t="s">
        <v>477</v>
      </c>
      <c r="C249" s="23" t="s">
        <v>478</v>
      </c>
      <c r="D249" s="24">
        <f>Tabla1346891017253343515967758391991071151231311391471551391631711791871951631711792032112192272352432512592672752832912993073153233313393453533613693773851725[[#This Row],[STOCK]]</f>
        <v>253</v>
      </c>
      <c r="E249" s="25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240</v>
      </c>
      <c r="F249" s="23"/>
      <c r="G249" s="24">
        <v>5</v>
      </c>
      <c r="H249" s="39"/>
      <c r="I249" s="40"/>
      <c r="J249" s="41"/>
      <c r="K249" s="39">
        <v>8</v>
      </c>
      <c r="L249" s="40"/>
      <c r="M249" s="41"/>
      <c r="N249" s="39"/>
      <c r="O249" s="40"/>
      <c r="P249" s="41"/>
      <c r="Q249" s="39"/>
      <c r="R249" s="23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13</v>
      </c>
    </row>
    <row r="250" spans="2:18" x14ac:dyDescent="0.2">
      <c r="B250" s="29" t="s">
        <v>479</v>
      </c>
      <c r="C250" s="30" t="s">
        <v>480</v>
      </c>
      <c r="D250" s="31">
        <f>Tabla1346891017253343515967758391991071151231311391471551391631711791871951631711792032112192272352432512592672752832912993073153233313393453533613693773851725[[#This Row],[STOCK]]</f>
        <v>252</v>
      </c>
      <c r="E250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220</v>
      </c>
      <c r="F250" s="30"/>
      <c r="G250" s="31">
        <v>10</v>
      </c>
      <c r="H250" s="42"/>
      <c r="I250" s="43">
        <v>13</v>
      </c>
      <c r="J250" s="44"/>
      <c r="K250" s="42">
        <v>8</v>
      </c>
      <c r="L250" s="43"/>
      <c r="M250" s="44"/>
      <c r="N250" s="42"/>
      <c r="O250" s="43"/>
      <c r="P250" s="44"/>
      <c r="Q250" s="42">
        <v>1</v>
      </c>
      <c r="R250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32</v>
      </c>
    </row>
    <row r="251" spans="2:18" x14ac:dyDescent="0.2">
      <c r="B251" s="22" t="s">
        <v>481</v>
      </c>
      <c r="C251" s="23" t="s">
        <v>482</v>
      </c>
      <c r="D251" s="24">
        <f>Tabla1346891017253343515967758391991071151231311391471551391631711791871951631711792032112192272352432512592672752832912993073153233313393453533613693773851725[[#This Row],[STOCK]]</f>
        <v>1187</v>
      </c>
      <c r="E251" s="25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1145</v>
      </c>
      <c r="F251" s="23"/>
      <c r="G251" s="24">
        <v>16</v>
      </c>
      <c r="H251" s="39"/>
      <c r="I251" s="40">
        <v>13</v>
      </c>
      <c r="J251" s="41"/>
      <c r="K251" s="39">
        <v>12</v>
      </c>
      <c r="L251" s="40"/>
      <c r="M251" s="41"/>
      <c r="N251" s="39"/>
      <c r="O251" s="40"/>
      <c r="P251" s="41"/>
      <c r="Q251" s="39">
        <v>1</v>
      </c>
      <c r="R251" s="23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42</v>
      </c>
    </row>
    <row r="252" spans="2:18" x14ac:dyDescent="0.2">
      <c r="B252" s="29" t="s">
        <v>483</v>
      </c>
      <c r="C252" s="30" t="s">
        <v>484</v>
      </c>
      <c r="D252" s="31">
        <f>Tabla1346891017253343515967758391991071151231311391471551391631711791871951631711792032112192272352432512592672752832912993073153233313393453533613693773851725[[#This Row],[STOCK]]</f>
        <v>693</v>
      </c>
      <c r="E252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667</v>
      </c>
      <c r="F252" s="30"/>
      <c r="G252" s="31">
        <v>17</v>
      </c>
      <c r="H252" s="42"/>
      <c r="I252" s="43"/>
      <c r="J252" s="44"/>
      <c r="K252" s="42">
        <v>8</v>
      </c>
      <c r="L252" s="43"/>
      <c r="M252" s="44"/>
      <c r="N252" s="42"/>
      <c r="O252" s="43"/>
      <c r="P252" s="44"/>
      <c r="Q252" s="42">
        <v>1</v>
      </c>
      <c r="R252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26</v>
      </c>
    </row>
    <row r="253" spans="2:18" x14ac:dyDescent="0.2">
      <c r="B253" s="22" t="s">
        <v>485</v>
      </c>
      <c r="C253" s="23" t="s">
        <v>486</v>
      </c>
      <c r="D253" s="24">
        <f>Tabla1346891017253343515967758391991071151231311391471551391631711791871951631711792032112192272352432512592672752832912993073153233313393453533613693773851725[[#This Row],[STOCK]]</f>
        <v>588</v>
      </c>
      <c r="E253" s="25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583</v>
      </c>
      <c r="F253" s="23"/>
      <c r="G253" s="24"/>
      <c r="H253" s="39"/>
      <c r="I253" s="40"/>
      <c r="J253" s="41"/>
      <c r="K253" s="39">
        <v>4</v>
      </c>
      <c r="L253" s="40"/>
      <c r="M253" s="41"/>
      <c r="N253" s="39"/>
      <c r="O253" s="40"/>
      <c r="P253" s="41"/>
      <c r="Q253" s="39">
        <v>1</v>
      </c>
      <c r="R253" s="23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5</v>
      </c>
    </row>
    <row r="254" spans="2:18" x14ac:dyDescent="0.2">
      <c r="B254" s="29" t="s">
        <v>487</v>
      </c>
      <c r="C254" s="30" t="s">
        <v>488</v>
      </c>
      <c r="D254" s="31">
        <f>Tabla1346891017253343515967758391991071151231311391471551391631711791871951631711792032112192272352432512592672752832912993073153233313393453533613693773851725[[#This Row],[STOCK]]</f>
        <v>235</v>
      </c>
      <c r="E254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234</v>
      </c>
      <c r="F254" s="30"/>
      <c r="G254" s="31"/>
      <c r="H254" s="42"/>
      <c r="I254" s="43"/>
      <c r="J254" s="44"/>
      <c r="K254" s="42"/>
      <c r="L254" s="43"/>
      <c r="M254" s="44"/>
      <c r="N254" s="42"/>
      <c r="O254" s="43"/>
      <c r="P254" s="44"/>
      <c r="Q254" s="42">
        <v>1</v>
      </c>
      <c r="R254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1</v>
      </c>
    </row>
    <row r="255" spans="2:18" x14ac:dyDescent="0.2">
      <c r="B255" s="22" t="s">
        <v>489</v>
      </c>
      <c r="C255" s="23" t="s">
        <v>490</v>
      </c>
      <c r="D255" s="24">
        <f>Tabla1346891017253343515967758391991071151231311391471551391631711791871951631711792032112192272352432512592672752832912993073153233313393453533613693773851725[[#This Row],[STOCK]]</f>
        <v>346</v>
      </c>
      <c r="E255" s="25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341</v>
      </c>
      <c r="F255" s="23"/>
      <c r="G255" s="24"/>
      <c r="H255" s="39"/>
      <c r="I255" s="40"/>
      <c r="J255" s="41"/>
      <c r="K255" s="39">
        <v>4</v>
      </c>
      <c r="L255" s="40"/>
      <c r="M255" s="41"/>
      <c r="N255" s="39"/>
      <c r="O255" s="40"/>
      <c r="P255" s="41"/>
      <c r="Q255" s="39">
        <v>1</v>
      </c>
      <c r="R255" s="23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5</v>
      </c>
    </row>
    <row r="256" spans="2:18" x14ac:dyDescent="0.2">
      <c r="B256" s="29" t="s">
        <v>491</v>
      </c>
      <c r="C256" s="30" t="s">
        <v>492</v>
      </c>
      <c r="D256" s="31">
        <f>Tabla1346891017253343515967758391991071151231311391471551391631711791871951631711792032112192272352432512592672752832912993073153233313393453533613693773851725[[#This Row],[STOCK]]</f>
        <v>111</v>
      </c>
      <c r="E256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110</v>
      </c>
      <c r="F256" s="30"/>
      <c r="G256" s="31"/>
      <c r="H256" s="42"/>
      <c r="I256" s="43"/>
      <c r="J256" s="44"/>
      <c r="K256" s="42"/>
      <c r="L256" s="43"/>
      <c r="M256" s="44"/>
      <c r="N256" s="42"/>
      <c r="O256" s="43"/>
      <c r="P256" s="44"/>
      <c r="Q256" s="42">
        <v>1</v>
      </c>
      <c r="R256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1</v>
      </c>
    </row>
    <row r="257" spans="2:18" x14ac:dyDescent="0.2">
      <c r="B257" s="22" t="s">
        <v>493</v>
      </c>
      <c r="C257" s="23" t="s">
        <v>494</v>
      </c>
      <c r="D257" s="24">
        <f>Tabla1346891017253343515967758391991071151231311391471551391631711791871951631711792032112192272352432512592672752832912993073153233313393453533613693773851725[[#This Row],[STOCK]]</f>
        <v>221</v>
      </c>
      <c r="E257" s="25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214</v>
      </c>
      <c r="F257" s="23"/>
      <c r="G257" s="24"/>
      <c r="H257" s="39"/>
      <c r="I257" s="40"/>
      <c r="J257" s="41"/>
      <c r="K257" s="39">
        <v>6</v>
      </c>
      <c r="L257" s="40"/>
      <c r="M257" s="41"/>
      <c r="N257" s="39"/>
      <c r="O257" s="40"/>
      <c r="P257" s="41"/>
      <c r="Q257" s="39">
        <v>1</v>
      </c>
      <c r="R257" s="23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7</v>
      </c>
    </row>
    <row r="258" spans="2:18" x14ac:dyDescent="0.2">
      <c r="B258" s="29" t="s">
        <v>495</v>
      </c>
      <c r="C258" s="30" t="s">
        <v>496</v>
      </c>
      <c r="D258" s="31">
        <f>Tabla1346891017253343515967758391991071151231311391471551391631711791871951631711792032112192272352432512592672752832912993073153233313393453533613693773851725[[#This Row],[STOCK]]</f>
        <v>353</v>
      </c>
      <c r="E258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350</v>
      </c>
      <c r="F258" s="30"/>
      <c r="G258" s="31"/>
      <c r="H258" s="42"/>
      <c r="I258" s="43"/>
      <c r="J258" s="44"/>
      <c r="K258" s="42">
        <v>2</v>
      </c>
      <c r="L258" s="43"/>
      <c r="M258" s="44"/>
      <c r="N258" s="42"/>
      <c r="O258" s="43"/>
      <c r="P258" s="44"/>
      <c r="Q258" s="42">
        <v>1</v>
      </c>
      <c r="R258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3</v>
      </c>
    </row>
    <row r="259" spans="2:18" x14ac:dyDescent="0.2">
      <c r="B259" s="22" t="s">
        <v>497</v>
      </c>
      <c r="C259" s="23" t="s">
        <v>498</v>
      </c>
      <c r="D259" s="24">
        <f>Tabla1346891017253343515967758391991071151231311391471551391631711791871951631711792032112192272352432512592672752832912993073153233313393453533613693773851725[[#This Row],[STOCK]]</f>
        <v>430</v>
      </c>
      <c r="E259" s="25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430</v>
      </c>
      <c r="F259" s="23"/>
      <c r="G259" s="24"/>
      <c r="H259" s="39"/>
      <c r="I259" s="40"/>
      <c r="J259" s="41"/>
      <c r="K259" s="39"/>
      <c r="L259" s="40"/>
      <c r="M259" s="41"/>
      <c r="N259" s="39"/>
      <c r="O259" s="40"/>
      <c r="P259" s="41"/>
      <c r="Q259" s="39"/>
      <c r="R259" s="23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0</v>
      </c>
    </row>
    <row r="260" spans="2:18" x14ac:dyDescent="0.2">
      <c r="B260" s="29" t="s">
        <v>499</v>
      </c>
      <c r="C260" s="30" t="s">
        <v>500</v>
      </c>
      <c r="D260" s="31">
        <f>Tabla1346891017253343515967758391991071151231311391471551391631711791871951631711792032112192272352432512592672752832912993073153233313393453533613693773851725[[#This Row],[STOCK]]</f>
        <v>837</v>
      </c>
      <c r="E260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837</v>
      </c>
      <c r="F260" s="30"/>
      <c r="G260" s="31"/>
      <c r="H260" s="42"/>
      <c r="I260" s="43"/>
      <c r="J260" s="44"/>
      <c r="K260" s="42"/>
      <c r="L260" s="43"/>
      <c r="M260" s="44"/>
      <c r="N260" s="42"/>
      <c r="O260" s="43"/>
      <c r="P260" s="44"/>
      <c r="Q260" s="42"/>
      <c r="R260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0</v>
      </c>
    </row>
    <row r="261" spans="2:18" x14ac:dyDescent="0.2">
      <c r="B261" s="22" t="s">
        <v>501</v>
      </c>
      <c r="C261" s="23" t="s">
        <v>502</v>
      </c>
      <c r="D261" s="24">
        <f>Tabla1346891017253343515967758391991071151231311391471551391631711791871951631711792032112192272352432512592672752832912993073153233313393453533613693773851725[[#This Row],[STOCK]]</f>
        <v>389</v>
      </c>
      <c r="E261" s="25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389</v>
      </c>
      <c r="F261" s="23"/>
      <c r="G261" s="24"/>
      <c r="H261" s="39"/>
      <c r="I261" s="40"/>
      <c r="J261" s="41"/>
      <c r="K261" s="39"/>
      <c r="L261" s="40"/>
      <c r="M261" s="41"/>
      <c r="N261" s="39"/>
      <c r="O261" s="40"/>
      <c r="P261" s="41"/>
      <c r="Q261" s="39"/>
      <c r="R261" s="23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0</v>
      </c>
    </row>
    <row r="262" spans="2:18" x14ac:dyDescent="0.2">
      <c r="B262" s="29" t="s">
        <v>503</v>
      </c>
      <c r="C262" s="30" t="s">
        <v>504</v>
      </c>
      <c r="D262" s="31">
        <f>Tabla1346891017253343515967758391991071151231311391471551391631711791871951631711792032112192272352432512592672752832912993073153233313393453533613693773851725[[#This Row],[STOCK]]</f>
        <v>249</v>
      </c>
      <c r="E262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249</v>
      </c>
      <c r="F262" s="30"/>
      <c r="G262" s="31"/>
      <c r="H262" s="42"/>
      <c r="I262" s="43"/>
      <c r="J262" s="44"/>
      <c r="K262" s="42"/>
      <c r="L262" s="43"/>
      <c r="M262" s="44"/>
      <c r="N262" s="42"/>
      <c r="O262" s="43"/>
      <c r="P262" s="44"/>
      <c r="Q262" s="42"/>
      <c r="R262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0</v>
      </c>
    </row>
    <row r="263" spans="2:18" x14ac:dyDescent="0.2">
      <c r="B263" s="22" t="s">
        <v>505</v>
      </c>
      <c r="C263" s="23" t="s">
        <v>506</v>
      </c>
      <c r="D263" s="24">
        <f>Tabla1346891017253343515967758391991071151231311391471551391631711791871951631711792032112192272352432512592672752832912993073153233313393453533613693773851725[[#This Row],[STOCK]]</f>
        <v>461</v>
      </c>
      <c r="E263" s="25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458</v>
      </c>
      <c r="F263" s="23"/>
      <c r="G263" s="24"/>
      <c r="H263" s="39"/>
      <c r="I263" s="40"/>
      <c r="J263" s="41"/>
      <c r="K263" s="39">
        <v>3</v>
      </c>
      <c r="L263" s="40"/>
      <c r="M263" s="41"/>
      <c r="N263" s="39"/>
      <c r="O263" s="40"/>
      <c r="P263" s="41"/>
      <c r="Q263" s="39"/>
      <c r="R263" s="23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3</v>
      </c>
    </row>
    <row r="264" spans="2:18" x14ac:dyDescent="0.2">
      <c r="B264" s="29" t="s">
        <v>507</v>
      </c>
      <c r="C264" s="30" t="s">
        <v>508</v>
      </c>
      <c r="D264" s="31">
        <f>Tabla1346891017253343515967758391991071151231311391471551391631711791871951631711792032112192272352432512592672752832912993073153233313393453533613693773851725[[#This Row],[STOCK]]</f>
        <v>107</v>
      </c>
      <c r="E264" s="32">
        <f>Tabla134689101725334351596775839199107115123131139147155139163171179187195163171179203211219227235243251259267275283291299307315323331339345353361369377385172533[[#This Row],[INVENTARIO INICIAL]]+Tabla134689101725334351596775839199107115123131139147155139163171179187195163171179203211219227235243251259267275283291299307315323331339345353361369377385172533[[#This Row],[INGRESO LUNES]]-Tabla134689101725334351596775839199107115123131139147155139163171179187195163171179203211219227235243251259267275283291299307315323331339345353361369377385172533[[#This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Row],[INGRESO MARTES]]-Tabla134689101725334351596775839199107115123131139147155139163171179187195163171179203211219227235243251259267275283291299307315323331339345353361369377385172533[[#This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Row],[INGRESO MIERCOLES]]-Tabla134689101725334351596775839199107115123131139147155139163171179187195163171179203211219227235243251259267275283291299307315323331339345353361369377385172533[[#This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Row],[INGRESO JUEVES]]-Tabla134689101725334351596775839199107115123131139147155139163171179187195163171179203211219227235243251259267275283291299307315323331339345353361369377385172533[[#This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Row],[INGRESO VIERNES]]-Tabla134689101725334351596775839199107115123131139147155139163171179187195163171179203211219227235243251259267275283291299307315323331339345353361369377385172533[[#This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 INGRESO SABADO]]-Tabla134689101725334351596775839199107115123131139147155139163171179187195163171179203211219227235243251259267275283291299307315323331339345353361369377385172533[[#This Row],[VENTA SABADO]]</f>
        <v>107</v>
      </c>
      <c r="F264" s="30"/>
      <c r="G264" s="31"/>
      <c r="H264" s="42"/>
      <c r="I264" s="43"/>
      <c r="J264" s="44"/>
      <c r="K264" s="42"/>
      <c r="L264" s="43"/>
      <c r="M264" s="44"/>
      <c r="N264" s="42"/>
      <c r="O264" s="43"/>
      <c r="P264" s="44"/>
      <c r="Q264" s="42"/>
      <c r="R264" s="30">
        <f>Tabla134689101725334351596775839199107115123131139147155139163171179187195163171179203211219227235243251259267275283291299307315323331339345353361369377385172533[[#This Row],[VENTA LUNES]]+Tabla134689101725334351596775839199107115123131139147155139163171179187195163171179203211219227235243251259267275283291299307315323331339345353361369377385172533[[#This Row],[VENTA MARTES]]+Tabla134689101725334351596775839199107115123131139147155139163171179187195163171179203211219227235243251259267275283291299307315323331339345353361369377385172533[[#This Row],[VENTA MIERCOLES]]+Tabla134689101725334351596775839199107115123131139147155139163171179187195163171179203211219227235243251259267275283291299307315323331339345353361369377385172533[[#This Row],[VENTA JUEVES]]+Tabla134689101725334351596775839199107115123131139147155139163171179187195163171179203211219227235243251259267275283291299307315323331339345353361369377385172533[[#This Row],[VENTA VIERNES]]+Tabla134689101725334351596775839199107115123131139147155139163171179187195163171179203211219227235243251259267275283291299307315323331339345353361369377385172533[[#This Row],[VENTA SABADO]]</f>
        <v>0</v>
      </c>
    </row>
  </sheetData>
  <mergeCells count="5">
    <mergeCell ref="B1:G2"/>
    <mergeCell ref="B4:B5"/>
    <mergeCell ref="C4:D4"/>
    <mergeCell ref="C5:D5"/>
    <mergeCell ref="S20:V20"/>
  </mergeCells>
  <conditionalFormatting sqref="E26:E29">
    <cfRule type="cellIs" dxfId="539" priority="29" operator="lessThan">
      <formula>51</formula>
    </cfRule>
    <cfRule type="cellIs" dxfId="538" priority="30" operator="lessThan">
      <formula>0</formula>
    </cfRule>
  </conditionalFormatting>
  <conditionalFormatting sqref="E30:E39">
    <cfRule type="cellIs" dxfId="537" priority="27" operator="lessThan">
      <formula>51</formula>
    </cfRule>
    <cfRule type="cellIs" dxfId="536" priority="28" operator="lessThan">
      <formula>0</formula>
    </cfRule>
  </conditionalFormatting>
  <conditionalFormatting sqref="E40:E56">
    <cfRule type="cellIs" dxfId="535" priority="25" operator="lessThan">
      <formula>51</formula>
    </cfRule>
    <cfRule type="cellIs" dxfId="534" priority="26" operator="lessThan">
      <formula>0</formula>
    </cfRule>
  </conditionalFormatting>
  <conditionalFormatting sqref="E59:E61">
    <cfRule type="cellIs" dxfId="533" priority="23" operator="lessThan">
      <formula>51</formula>
    </cfRule>
    <cfRule type="cellIs" dxfId="532" priority="24" operator="lessThan">
      <formula>0</formula>
    </cfRule>
  </conditionalFormatting>
  <conditionalFormatting sqref="E62:E71">
    <cfRule type="cellIs" dxfId="531" priority="21" operator="lessThan">
      <formula>51</formula>
    </cfRule>
    <cfRule type="cellIs" dxfId="530" priority="22" operator="lessThan">
      <formula>0</formula>
    </cfRule>
  </conditionalFormatting>
  <conditionalFormatting sqref="E72:E88">
    <cfRule type="cellIs" dxfId="529" priority="19" operator="lessThan">
      <formula>51</formula>
    </cfRule>
    <cfRule type="cellIs" dxfId="528" priority="20" operator="lessThan">
      <formula>0</formula>
    </cfRule>
  </conditionalFormatting>
  <conditionalFormatting sqref="E89:E92">
    <cfRule type="cellIs" dxfId="527" priority="17" operator="lessThan">
      <formula>51</formula>
    </cfRule>
    <cfRule type="cellIs" dxfId="526" priority="18" operator="lessThan">
      <formula>0</formula>
    </cfRule>
  </conditionalFormatting>
  <conditionalFormatting sqref="E93:E96">
    <cfRule type="cellIs" dxfId="525" priority="15" operator="lessThan">
      <formula>51</formula>
    </cfRule>
    <cfRule type="cellIs" dxfId="524" priority="16" operator="lessThan">
      <formula>0</formula>
    </cfRule>
  </conditionalFormatting>
  <conditionalFormatting sqref="E99:E134">
    <cfRule type="cellIs" dxfId="523" priority="13" operator="lessThan">
      <formula>51</formula>
    </cfRule>
    <cfRule type="cellIs" dxfId="522" priority="14" operator="lessThan">
      <formula>0</formula>
    </cfRule>
  </conditionalFormatting>
  <conditionalFormatting sqref="E137:E151">
    <cfRule type="cellIs" dxfId="521" priority="11" operator="lessThan">
      <formula>51</formula>
    </cfRule>
    <cfRule type="cellIs" dxfId="520" priority="12" operator="lessThan">
      <formula>0</formula>
    </cfRule>
  </conditionalFormatting>
  <conditionalFormatting sqref="E154:E193">
    <cfRule type="cellIs" dxfId="519" priority="9" operator="lessThan">
      <formula>51</formula>
    </cfRule>
    <cfRule type="cellIs" dxfId="518" priority="10" operator="lessThan">
      <formula>0</formula>
    </cfRule>
  </conditionalFormatting>
  <conditionalFormatting sqref="E235:E241">
    <cfRule type="cellIs" dxfId="517" priority="7" operator="lessThan">
      <formula>51</formula>
    </cfRule>
    <cfRule type="cellIs" dxfId="516" priority="8" operator="lessThan">
      <formula>0</formula>
    </cfRule>
  </conditionalFormatting>
  <conditionalFormatting sqref="E196:E234">
    <cfRule type="cellIs" dxfId="515" priority="5" operator="lessThan">
      <formula>51</formula>
    </cfRule>
    <cfRule type="cellIs" dxfId="514" priority="6" operator="lessThan">
      <formula>0</formula>
    </cfRule>
  </conditionalFormatting>
  <conditionalFormatting sqref="E244:E264">
    <cfRule type="cellIs" dxfId="513" priority="3" operator="lessThan">
      <formula>51</formula>
    </cfRule>
    <cfRule type="cellIs" dxfId="512" priority="4" operator="lessThan">
      <formula>0</formula>
    </cfRule>
  </conditionalFormatting>
  <conditionalFormatting sqref="E10:E23">
    <cfRule type="cellIs" dxfId="511" priority="1" operator="lessThan">
      <formula>51</formula>
    </cfRule>
    <cfRule type="cellIs" dxfId="510" priority="2" operator="lessThan">
      <formula>0</formula>
    </cfRule>
  </conditionalFormatting>
  <pageMargins left="0.5" right="0.5" top="0.5" bottom="0.5" header="0.5" footer="0.5"/>
  <pageSetup orientation="landscape" horizontalDpi="360" verticalDpi="360" r:id="rId1"/>
  <headerFooter alignWithMargins="0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1515-5E64-4093-AFDD-3571C2BC23CA}">
  <sheetPr>
    <pageSetUpPr autoPageBreaks="0"/>
  </sheetPr>
  <dimension ref="A1:V264"/>
  <sheetViews>
    <sheetView showGridLines="0" tabSelected="1" topLeftCell="A3" zoomScale="112" zoomScaleNormal="112" workbookViewId="0">
      <pane xSplit="5" ySplit="6" topLeftCell="F9" activePane="bottomRight" state="frozen"/>
      <selection activeCell="A3" sqref="A3"/>
      <selection pane="topRight" activeCell="F3" sqref="F3"/>
      <selection pane="bottomLeft" activeCell="A8" sqref="A8"/>
      <selection pane="bottomRight" activeCell="H10" sqref="H10"/>
    </sheetView>
  </sheetViews>
  <sheetFormatPr baseColWidth="10" defaultColWidth="9.140625" defaultRowHeight="12.75" x14ac:dyDescent="0.2"/>
  <cols>
    <col min="1" max="1" width="1.7109375" customWidth="1"/>
    <col min="2" max="2" width="50.140625" customWidth="1"/>
    <col min="3" max="3" width="8" customWidth="1"/>
    <col min="4" max="4" width="11.140625" style="56" customWidth="1"/>
    <col min="5" max="5" width="16.28515625" style="57" customWidth="1"/>
    <col min="6" max="6" width="11.140625" style="3" customWidth="1"/>
    <col min="7" max="7" width="11" style="3" customWidth="1"/>
    <col min="8" max="8" width="11.85546875" style="3" customWidth="1"/>
    <col min="9" max="9" width="11.5703125" style="3" customWidth="1"/>
    <col min="10" max="10" width="14.42578125" style="3" customWidth="1"/>
    <col min="11" max="11" width="13.85546875" style="3" customWidth="1"/>
    <col min="12" max="12" width="11.7109375" style="3" customWidth="1"/>
    <col min="13" max="13" width="11.28515625" style="3" customWidth="1"/>
    <col min="14" max="15" width="12" style="3" customWidth="1"/>
    <col min="16" max="16" width="11.85546875" style="3" customWidth="1"/>
    <col min="17" max="17" width="12.42578125" style="3" customWidth="1"/>
    <col min="18" max="18" width="12.7109375" style="3" customWidth="1"/>
  </cols>
  <sheetData>
    <row r="1" spans="1:18" ht="8.1" customHeight="1" x14ac:dyDescent="0.2">
      <c r="A1" s="1"/>
      <c r="B1" s="66" t="s">
        <v>0</v>
      </c>
      <c r="C1" s="66"/>
      <c r="D1" s="66"/>
      <c r="E1" s="66"/>
      <c r="F1" s="66"/>
      <c r="G1" s="66"/>
      <c r="H1" s="2"/>
      <c r="I1" s="2"/>
      <c r="J1" s="2"/>
    </row>
    <row r="2" spans="1:18" ht="51.95" customHeight="1" x14ac:dyDescent="0.2">
      <c r="A2" s="1"/>
      <c r="B2" s="66"/>
      <c r="C2" s="66"/>
      <c r="D2" s="66"/>
      <c r="E2" s="66"/>
      <c r="F2" s="66"/>
      <c r="G2" s="66"/>
      <c r="H2" s="2"/>
      <c r="I2" s="2"/>
      <c r="J2" s="2"/>
    </row>
    <row r="3" spans="1:18" ht="8.1" customHeight="1" x14ac:dyDescent="0.2">
      <c r="A3" s="4"/>
      <c r="B3" s="5"/>
      <c r="C3" s="5"/>
      <c r="D3" s="6"/>
      <c r="E3" s="7"/>
      <c r="F3" s="2"/>
      <c r="G3" s="2"/>
      <c r="H3" s="2"/>
      <c r="I3" s="2"/>
      <c r="J3" s="2"/>
    </row>
    <row r="4" spans="1:18" ht="22.5" customHeight="1" x14ac:dyDescent="0.2">
      <c r="A4" s="4"/>
      <c r="B4" s="67" t="s">
        <v>1</v>
      </c>
      <c r="C4" s="69" t="s">
        <v>2</v>
      </c>
      <c r="D4" s="70"/>
      <c r="E4" s="8"/>
      <c r="F4" s="9"/>
    </row>
    <row r="5" spans="1:18" ht="17.25" customHeight="1" x14ac:dyDescent="0.2">
      <c r="A5" s="4"/>
      <c r="B5" s="68"/>
      <c r="C5" s="71" t="s">
        <v>3</v>
      </c>
      <c r="D5" s="72"/>
      <c r="E5" s="10"/>
      <c r="F5" s="9"/>
    </row>
    <row r="6" spans="1:18" ht="8.25" customHeight="1" x14ac:dyDescent="0.2">
      <c r="A6" s="4"/>
      <c r="B6" s="11"/>
      <c r="C6" s="9"/>
      <c r="D6" s="9"/>
      <c r="E6" s="12"/>
      <c r="F6" s="9"/>
    </row>
    <row r="7" spans="1:18" ht="18.75" customHeight="1" x14ac:dyDescent="0.2">
      <c r="A7" s="4"/>
      <c r="D7" s="13"/>
      <c r="E7" s="13"/>
      <c r="F7" s="9"/>
      <c r="G7" s="14"/>
      <c r="H7" s="14"/>
      <c r="I7" s="14"/>
      <c r="J7" s="15"/>
    </row>
    <row r="8" spans="1:18" ht="15.95" customHeight="1" x14ac:dyDescent="0.2">
      <c r="A8" s="4"/>
      <c r="C8" s="13"/>
      <c r="D8" s="13"/>
      <c r="E8" s="13"/>
      <c r="F8" s="9"/>
      <c r="G8" s="14"/>
      <c r="H8" s="14"/>
      <c r="I8" s="14"/>
      <c r="J8" s="15"/>
    </row>
    <row r="9" spans="1:18" ht="38.25" customHeight="1" x14ac:dyDescent="0.2">
      <c r="A9" s="4"/>
      <c r="B9" s="16" t="s">
        <v>4</v>
      </c>
      <c r="C9" s="17" t="s">
        <v>5</v>
      </c>
      <c r="D9" s="18" t="s">
        <v>6</v>
      </c>
      <c r="E9" s="19" t="s">
        <v>7</v>
      </c>
      <c r="F9" s="20" t="s">
        <v>8</v>
      </c>
      <c r="G9" s="20" t="s">
        <v>9</v>
      </c>
      <c r="H9" s="20" t="s">
        <v>10</v>
      </c>
      <c r="I9" s="20" t="s">
        <v>11</v>
      </c>
      <c r="J9" s="20" t="s">
        <v>12</v>
      </c>
      <c r="K9" s="20" t="s">
        <v>13</v>
      </c>
      <c r="L9" s="20" t="s">
        <v>14</v>
      </c>
      <c r="M9" s="20" t="s">
        <v>15</v>
      </c>
      <c r="N9" s="20" t="s">
        <v>16</v>
      </c>
      <c r="O9" s="20" t="s">
        <v>17</v>
      </c>
      <c r="P9" s="20" t="s">
        <v>18</v>
      </c>
      <c r="Q9" s="20" t="s">
        <v>19</v>
      </c>
      <c r="R9" s="21" t="s">
        <v>20</v>
      </c>
    </row>
    <row r="10" spans="1:18" ht="15.75" customHeight="1" x14ac:dyDescent="0.2">
      <c r="A10" s="4"/>
      <c r="B10" s="22" t="s">
        <v>21</v>
      </c>
      <c r="C10" s="23" t="s">
        <v>22</v>
      </c>
      <c r="D10" s="24">
        <f>STOCK6876849210010811612413214014813215616417218018815616417219620421222022823624425226026827628429230030831632433234346354362370378101826[[#This Row],[STOCK]]</f>
        <v>426</v>
      </c>
      <c r="E10" s="74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450</v>
      </c>
      <c r="F10" s="26">
        <v>50</v>
      </c>
      <c r="G10" s="23">
        <v>5</v>
      </c>
      <c r="H10" s="27"/>
      <c r="I10" s="23">
        <v>8</v>
      </c>
      <c r="J10" s="23"/>
      <c r="K10" s="23">
        <v>10</v>
      </c>
      <c r="L10" s="23"/>
      <c r="M10" s="23">
        <v>3</v>
      </c>
      <c r="N10" s="23"/>
      <c r="O10" s="23"/>
      <c r="P10" s="23"/>
      <c r="Q10" s="23"/>
      <c r="R10" s="28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26</v>
      </c>
    </row>
    <row r="11" spans="1:18" ht="15.75" customHeight="1" x14ac:dyDescent="0.2">
      <c r="A11" s="4"/>
      <c r="B11" s="29" t="s">
        <v>23</v>
      </c>
      <c r="C11" s="30" t="s">
        <v>24</v>
      </c>
      <c r="D11" s="31">
        <f>STOCK6876849210010811612413214014813215616417218018815616417219620421222022823624425226026827628429230030831632433234346354362370378101826[[#This Row],[STOCK]]</f>
        <v>398</v>
      </c>
      <c r="E11" s="32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386</v>
      </c>
      <c r="F11" s="33"/>
      <c r="G11" s="30">
        <v>3</v>
      </c>
      <c r="H11" s="34"/>
      <c r="I11" s="30">
        <v>2</v>
      </c>
      <c r="J11" s="30"/>
      <c r="K11" s="30">
        <v>7</v>
      </c>
      <c r="L11" s="30"/>
      <c r="M11" s="30"/>
      <c r="N11" s="30"/>
      <c r="O11" s="30"/>
      <c r="P11" s="30"/>
      <c r="Q11" s="30"/>
      <c r="R11" s="35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12</v>
      </c>
    </row>
    <row r="12" spans="1:18" ht="15.75" customHeight="1" x14ac:dyDescent="0.2">
      <c r="A12" s="4"/>
      <c r="B12" s="22" t="s">
        <v>25</v>
      </c>
      <c r="C12" s="23" t="s">
        <v>26</v>
      </c>
      <c r="D12" s="24">
        <f>STOCK6876849210010811612413214014813215616417218018815616417219620421222022823624425226026827628429230030831632433234346354362370378101826[[#This Row],[STOCK]]</f>
        <v>247</v>
      </c>
      <c r="E12" s="25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364</v>
      </c>
      <c r="F12" s="26"/>
      <c r="G12" s="23">
        <v>5</v>
      </c>
      <c r="H12" s="27"/>
      <c r="I12" s="23">
        <v>12</v>
      </c>
      <c r="J12" s="23">
        <v>144</v>
      </c>
      <c r="K12" s="23">
        <v>10</v>
      </c>
      <c r="L12" s="23"/>
      <c r="M12" s="23"/>
      <c r="N12" s="23"/>
      <c r="O12" s="23"/>
      <c r="P12" s="23"/>
      <c r="Q12" s="23"/>
      <c r="R12" s="28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27</v>
      </c>
    </row>
    <row r="13" spans="1:18" ht="16.5" customHeight="1" x14ac:dyDescent="0.2">
      <c r="A13" s="4"/>
      <c r="B13" s="29" t="s">
        <v>27</v>
      </c>
      <c r="C13" s="30" t="s">
        <v>28</v>
      </c>
      <c r="D13" s="31">
        <f>STOCK6876849210010811612413214014813215616417218018815616417219620421222022823624425226026827628429230030831632433234346354362370378101826[[#This Row],[STOCK]]</f>
        <v>246</v>
      </c>
      <c r="E13" s="32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363</v>
      </c>
      <c r="F13" s="33">
        <v>134</v>
      </c>
      <c r="G13" s="30">
        <v>30</v>
      </c>
      <c r="H13" s="34"/>
      <c r="I13" s="30">
        <v>38</v>
      </c>
      <c r="J13" s="30">
        <v>56</v>
      </c>
      <c r="K13" s="30">
        <v>5</v>
      </c>
      <c r="L13" s="30"/>
      <c r="M13" s="30"/>
      <c r="N13" s="30"/>
      <c r="O13" s="30"/>
      <c r="P13" s="30"/>
      <c r="Q13" s="30"/>
      <c r="R13" s="35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73</v>
      </c>
    </row>
    <row r="14" spans="1:18" ht="15.75" customHeight="1" x14ac:dyDescent="0.2">
      <c r="A14" s="4"/>
      <c r="B14" s="22" t="s">
        <v>29</v>
      </c>
      <c r="C14" s="23" t="s">
        <v>30</v>
      </c>
      <c r="D14" s="24">
        <f>STOCK6876849210010811612413214014813215616417218018815616417219620421222022823624425226026827628429230030831632433234346354362370378101826[[#This Row],[STOCK]]</f>
        <v>84</v>
      </c>
      <c r="E14" s="25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72</v>
      </c>
      <c r="F14" s="26">
        <v>6</v>
      </c>
      <c r="G14" s="23">
        <v>10</v>
      </c>
      <c r="H14" s="27">
        <v>5</v>
      </c>
      <c r="I14" s="23"/>
      <c r="J14" s="23"/>
      <c r="K14" s="23">
        <v>13</v>
      </c>
      <c r="L14" s="23"/>
      <c r="M14" s="23"/>
      <c r="N14" s="23"/>
      <c r="O14" s="23"/>
      <c r="P14" s="23"/>
      <c r="Q14" s="23"/>
      <c r="R14" s="28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23</v>
      </c>
    </row>
    <row r="15" spans="1:18" ht="15.75" customHeight="1" x14ac:dyDescent="0.2">
      <c r="A15" s="4"/>
      <c r="B15" s="29" t="s">
        <v>31</v>
      </c>
      <c r="C15" s="30" t="s">
        <v>32</v>
      </c>
      <c r="D15" s="31">
        <f>STOCK6876849210010811612413214014813215616417218018815616417219620421222022823624425226026827628429230030831632433234346354362370378101826[[#This Row],[STOCK]]</f>
        <v>127</v>
      </c>
      <c r="E15" s="32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127</v>
      </c>
      <c r="F15" s="33"/>
      <c r="G15" s="30"/>
      <c r="H15" s="34"/>
      <c r="I15" s="30"/>
      <c r="J15" s="30"/>
      <c r="K15" s="30"/>
      <c r="L15" s="30"/>
      <c r="M15" s="30"/>
      <c r="N15" s="30"/>
      <c r="O15" s="30"/>
      <c r="P15" s="30"/>
      <c r="Q15" s="30"/>
      <c r="R15" s="35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0</v>
      </c>
    </row>
    <row r="16" spans="1:18" ht="16.5" customHeight="1" x14ac:dyDescent="0.2">
      <c r="A16" s="4"/>
      <c r="B16" s="22" t="s">
        <v>33</v>
      </c>
      <c r="C16" s="23" t="s">
        <v>34</v>
      </c>
      <c r="D16" s="24">
        <f>STOCK6876849210010811612413214014813215616417218018815616417219620421222022823624425226026827628429230030831632433234346354362370378101826[[#This Row],[STOCK]]</f>
        <v>34</v>
      </c>
      <c r="E16" s="25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64</v>
      </c>
      <c r="F16" s="26">
        <v>37</v>
      </c>
      <c r="G16" s="23">
        <v>2</v>
      </c>
      <c r="H16" s="27"/>
      <c r="I16" s="23"/>
      <c r="J16" s="23"/>
      <c r="K16" s="23">
        <v>5</v>
      </c>
      <c r="L16" s="23"/>
      <c r="M16" s="23"/>
      <c r="N16" s="23"/>
      <c r="O16" s="23"/>
      <c r="P16" s="23"/>
      <c r="Q16" s="23"/>
      <c r="R16" s="28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7</v>
      </c>
    </row>
    <row r="17" spans="1:22" ht="15.75" customHeight="1" x14ac:dyDescent="0.2">
      <c r="A17" s="4"/>
      <c r="B17" s="22" t="s">
        <v>35</v>
      </c>
      <c r="C17" s="23" t="s">
        <v>36</v>
      </c>
      <c r="D17" s="24">
        <f>STOCK6876849210010811612413214014813215616417218018815616417219620421222022823624425226026827628429230030831632433234346354362370378101826[[#This Row],[STOCK]]</f>
        <v>403</v>
      </c>
      <c r="E17" s="25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397</v>
      </c>
      <c r="F17" s="26"/>
      <c r="G17" s="23"/>
      <c r="H17" s="27"/>
      <c r="I17" s="23">
        <v>1</v>
      </c>
      <c r="J17" s="23"/>
      <c r="K17" s="23">
        <v>5</v>
      </c>
      <c r="L17" s="23"/>
      <c r="M17" s="23"/>
      <c r="N17" s="23"/>
      <c r="O17" s="23"/>
      <c r="P17" s="23"/>
      <c r="Q17" s="23"/>
      <c r="R17" s="28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6</v>
      </c>
    </row>
    <row r="18" spans="1:22" ht="15.75" customHeight="1" x14ac:dyDescent="0.2">
      <c r="A18" s="36"/>
      <c r="B18" s="29" t="s">
        <v>37</v>
      </c>
      <c r="C18" s="30" t="s">
        <v>38</v>
      </c>
      <c r="D18" s="31">
        <f>STOCK6876849210010811612413214014813215616417218018815616417219620421222022823624425226026827628429230030831632433234346354362370378101826[[#This Row],[STOCK]]</f>
        <v>149</v>
      </c>
      <c r="E18" s="32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237</v>
      </c>
      <c r="F18" s="33">
        <v>50</v>
      </c>
      <c r="G18" s="30">
        <v>1</v>
      </c>
      <c r="H18" s="34">
        <v>39</v>
      </c>
      <c r="I18" s="30"/>
      <c r="J18" s="30"/>
      <c r="K18" s="30"/>
      <c r="L18" s="30"/>
      <c r="M18" s="30"/>
      <c r="N18" s="30"/>
      <c r="O18" s="30"/>
      <c r="P18" s="30"/>
      <c r="Q18" s="30"/>
      <c r="R18" s="35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1</v>
      </c>
    </row>
    <row r="19" spans="1:22" ht="15.75" customHeight="1" x14ac:dyDescent="0.2">
      <c r="A19" s="4" t="s">
        <v>39</v>
      </c>
      <c r="B19" s="22" t="s">
        <v>40</v>
      </c>
      <c r="C19" s="23" t="s">
        <v>41</v>
      </c>
      <c r="D19" s="24">
        <f>STOCK6876849210010811612413214014813215616417218018815616417219620421222022823624425226026827628429230030831632433234346354362370378101826[[#This Row],[STOCK]]</f>
        <v>182</v>
      </c>
      <c r="E19" s="25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162</v>
      </c>
      <c r="F19" s="26"/>
      <c r="G19" s="23">
        <v>3</v>
      </c>
      <c r="H19" s="27"/>
      <c r="I19" s="23">
        <v>7</v>
      </c>
      <c r="J19" s="23"/>
      <c r="K19" s="23">
        <v>10</v>
      </c>
      <c r="L19" s="23"/>
      <c r="M19" s="23"/>
      <c r="N19" s="23"/>
      <c r="O19" s="23"/>
      <c r="P19" s="23"/>
      <c r="Q19" s="23"/>
      <c r="R19" s="28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20</v>
      </c>
    </row>
    <row r="20" spans="1:22" ht="15" customHeight="1" x14ac:dyDescent="0.2">
      <c r="A20" s="4"/>
      <c r="B20" s="22" t="s">
        <v>42</v>
      </c>
      <c r="C20" s="23" t="s">
        <v>43</v>
      </c>
      <c r="D20" s="24">
        <f>STOCK6876849210010811612413214014813215616417218018815616417219620421222022823624425226026827628429230030831632433234346354362370378101826[[#This Row],[STOCK]]</f>
        <v>219</v>
      </c>
      <c r="E20" s="25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193</v>
      </c>
      <c r="F20" s="26"/>
      <c r="G20" s="23">
        <v>8</v>
      </c>
      <c r="H20" s="27"/>
      <c r="I20" s="23">
        <v>3</v>
      </c>
      <c r="J20" s="23"/>
      <c r="K20" s="23">
        <v>15</v>
      </c>
      <c r="L20" s="23"/>
      <c r="M20" s="23"/>
      <c r="N20" s="23"/>
      <c r="O20" s="23"/>
      <c r="P20" s="23"/>
      <c r="Q20" s="23"/>
      <c r="R20" s="28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26</v>
      </c>
      <c r="S20" s="73"/>
      <c r="T20" s="73"/>
      <c r="U20" s="73"/>
      <c r="V20" s="73"/>
    </row>
    <row r="21" spans="1:22" ht="15.75" customHeight="1" x14ac:dyDescent="0.2">
      <c r="A21" s="4"/>
      <c r="B21" s="29" t="s">
        <v>44</v>
      </c>
      <c r="C21" s="30" t="s">
        <v>45</v>
      </c>
      <c r="D21" s="31">
        <f>STOCK6876849210010811612413214014813215616417218018815616417219620421222022823624425226026827628429230030831632433234346354362370378101826[[#This Row],[STOCK]]</f>
        <v>85</v>
      </c>
      <c r="E21" s="32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85</v>
      </c>
      <c r="F21" s="33"/>
      <c r="G21" s="30"/>
      <c r="H21" s="34"/>
      <c r="I21" s="30"/>
      <c r="J21" s="30"/>
      <c r="K21" s="30"/>
      <c r="L21" s="30"/>
      <c r="M21" s="30"/>
      <c r="N21" s="30"/>
      <c r="O21" s="30"/>
      <c r="P21" s="30"/>
      <c r="Q21" s="30"/>
      <c r="R21" s="35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0</v>
      </c>
    </row>
    <row r="22" spans="1:22" ht="15.75" customHeight="1" x14ac:dyDescent="0.2">
      <c r="A22" s="4"/>
      <c r="B22" s="22" t="s">
        <v>46</v>
      </c>
      <c r="C22" s="23" t="s">
        <v>47</v>
      </c>
      <c r="D22" s="24">
        <f>STOCK6876849210010811612413214014813215616417218018815616417219620421222022823624425226026827628429230030831632433234346354362370378101826[[#This Row],[STOCK]]</f>
        <v>105</v>
      </c>
      <c r="E22" s="25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105</v>
      </c>
      <c r="F22" s="26"/>
      <c r="G22" s="23"/>
      <c r="H22" s="27"/>
      <c r="I22" s="23"/>
      <c r="J22" s="23"/>
      <c r="K22" s="23"/>
      <c r="L22" s="23"/>
      <c r="M22" s="23"/>
      <c r="N22" s="23"/>
      <c r="O22" s="23"/>
      <c r="P22" s="23"/>
      <c r="Q22" s="23"/>
      <c r="R22" s="28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0</v>
      </c>
    </row>
    <row r="23" spans="1:22" ht="15.75" customHeight="1" x14ac:dyDescent="0.2">
      <c r="A23" s="4"/>
      <c r="B23" s="29" t="s">
        <v>48</v>
      </c>
      <c r="C23" s="30" t="s">
        <v>49</v>
      </c>
      <c r="D23" s="31">
        <f>STOCK6876849210010811612413214014813215616417218018815616417219620421222022823624425226026827628429230030831632433234346354362370378101826[[#This Row],[STOCK]]</f>
        <v>97</v>
      </c>
      <c r="E23" s="32">
        <f>STOCK687684921001081161241321401481321561641721801881561641721962042122202282362442522602682762842923003083163243323434635436237037810182634[[#This Row],[INVENTARIO INICIAL]]+STOCK687684921001081161241321401481321561641721801881561641721962042122202282362442522602682762842923003083163243323434635436237037810182634[[#This Row],[INGRESO LUNES]]-STOCK687684921001081161241321401481321561641721801881561641721962042122202282362442522602682762842923003083163243323434635436237037810182634[[#This Row],[VENTA    LUNES]]+STOCK687684921001081161241321401481321561641721801881561641721962042122202282362442522602682762842923003083163243323434635436237037810182634[[#This Row],[INGRESO MARTES]]-STOCK687684921001081161241321401481321561641721801881561641721962042122202282362442522602682762842923003083163243323434635436237037810182634[[#This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Row],[INGRESO MIERCOLES]]-STOCK687684921001081161241321401481321561641721801881561641721962042122202282362442522602682762842923003083163243323434635436237037810182634[[#This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Row],[INGRESO JUEVES]]-STOCK687684921001081161241321401481321561641721801881561641721962042122202282362442522602682762842923003083163243323434635436237037810182634[[#This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Row],[INGRESO VIERNES]]-STOCK687684921001081161241321401481321561641721801881561641721962042122202282362442522602682762842923003083163243323434635436237037810182634[[#This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 INGRESO SABADO]]-STOCK687684921001081161241321401481321561641721801881561641721962042122202282362442522602682762842923003083163243323434635436237037810182634[[#This Row],[VENTA SABADO]]</f>
        <v>97</v>
      </c>
      <c r="F23" s="33"/>
      <c r="G23" s="30"/>
      <c r="H23" s="34"/>
      <c r="I23" s="30"/>
      <c r="J23" s="30"/>
      <c r="K23" s="30"/>
      <c r="L23" s="30"/>
      <c r="M23" s="30"/>
      <c r="N23" s="30"/>
      <c r="O23" s="30"/>
      <c r="P23" s="30"/>
      <c r="Q23" s="30"/>
      <c r="R23" s="35">
        <f>STOCK687684921001081161241321401481321561641721801881561641721962042122202282362442522602682762842923003083163243323434635436237037810182634[[#This Row],[VENTA    LUNES]]++STOCK687684921001081161241321401481321561641721801881561641721962042122202282362442522602682762842923003083163243323434635436237037810182634[[#This Row],[VENTA MARTES]]+STOCK687684921001081161241321401481321561641721801881561641721962042122202282362442522602682762842923003083163243323434635436237037810182634[[#This Row],[VENTA MIERCOLES]]+STOCK687684921001081161241321401481321561641721801881561641721962042122202282362442522602682762842923003083163243323434635436237037810182634[[#This Row],[VENTA JUEVES]]+STOCK687684921001081161241321401481321561641721801881561641721962042122202282362442522602682762842923003083163243323434635436237037810182634[[#This Row],[VENTA VIERNES]]+STOCK687684921001081161241321401481321561641721801881561641721962042122202282362442522602682762842923003083163243323434635436237037810182634[[#This Row],[VENTA SABADO]]</f>
        <v>0</v>
      </c>
    </row>
    <row r="25" spans="1:22" ht="38.25" customHeight="1" x14ac:dyDescent="0.2">
      <c r="B25" s="16" t="s">
        <v>50</v>
      </c>
      <c r="C25" s="17" t="s">
        <v>5</v>
      </c>
      <c r="D25" s="18" t="s">
        <v>6</v>
      </c>
      <c r="E25" s="37" t="s">
        <v>7</v>
      </c>
      <c r="F25" s="38" t="s">
        <v>8</v>
      </c>
      <c r="G25" s="17" t="s">
        <v>51</v>
      </c>
      <c r="H25" s="18" t="s">
        <v>10</v>
      </c>
      <c r="I25" s="38" t="s">
        <v>11</v>
      </c>
      <c r="J25" s="17" t="s">
        <v>12</v>
      </c>
      <c r="K25" s="18" t="s">
        <v>13</v>
      </c>
      <c r="L25" s="17" t="s">
        <v>14</v>
      </c>
      <c r="M25" s="17" t="s">
        <v>15</v>
      </c>
      <c r="N25" s="18" t="s">
        <v>16</v>
      </c>
      <c r="O25" s="18" t="s">
        <v>17</v>
      </c>
      <c r="P25" s="17" t="s">
        <v>18</v>
      </c>
      <c r="Q25" s="18" t="s">
        <v>19</v>
      </c>
      <c r="R25" s="17" t="s">
        <v>20</v>
      </c>
    </row>
    <row r="26" spans="1:22" x14ac:dyDescent="0.2">
      <c r="B26" s="22" t="s">
        <v>52</v>
      </c>
      <c r="C26" s="23" t="s">
        <v>53</v>
      </c>
      <c r="D26" s="24">
        <f>Tabla13111927374553616977859310110911712513314114913315716517318118915716517319720521322122923724525326126927728529330130931732533335347355363371379111927[[#This Row],[STOCK]]</f>
        <v>190</v>
      </c>
      <c r="E26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190</v>
      </c>
      <c r="F26" s="26"/>
      <c r="G26" s="23"/>
      <c r="H26" s="27"/>
      <c r="I26" s="23"/>
      <c r="J26" s="23"/>
      <c r="K26" s="23"/>
      <c r="L26" s="23"/>
      <c r="M26" s="23"/>
      <c r="N26" s="23"/>
      <c r="O26" s="23"/>
      <c r="P26" s="23"/>
      <c r="Q26" s="23"/>
      <c r="R26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27" spans="1:22" x14ac:dyDescent="0.2">
      <c r="B27" s="29" t="s">
        <v>54</v>
      </c>
      <c r="C27" s="30" t="s">
        <v>55</v>
      </c>
      <c r="D27" s="31">
        <f>Tabla13111927374553616977859310110911712513314114913315716517318118915716517319720521322122923724525326126927728529330130931732533335347355363371379111927[[#This Row],[STOCK]]</f>
        <v>135</v>
      </c>
      <c r="E27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135</v>
      </c>
      <c r="F27" s="33"/>
      <c r="G27" s="30"/>
      <c r="H27" s="34"/>
      <c r="I27" s="30"/>
      <c r="J27" s="30"/>
      <c r="K27" s="30"/>
      <c r="L27" s="30"/>
      <c r="M27" s="30"/>
      <c r="N27" s="30"/>
      <c r="O27" s="30"/>
      <c r="P27" s="30"/>
      <c r="Q27" s="30"/>
      <c r="R27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28" spans="1:22" ht="13.5" customHeight="1" x14ac:dyDescent="0.2">
      <c r="B28" s="22" t="s">
        <v>56</v>
      </c>
      <c r="C28" s="23" t="s">
        <v>57</v>
      </c>
      <c r="D28" s="24">
        <f>Tabla13111927374553616977859310110911712513314114913315716517318118915716517319720521322122923724525326126927728529330130931732533335347355363371379111927[[#This Row],[STOCK]]</f>
        <v>133</v>
      </c>
      <c r="E28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118</v>
      </c>
      <c r="F28" s="26"/>
      <c r="G28" s="23">
        <v>4</v>
      </c>
      <c r="H28" s="27"/>
      <c r="I28" s="23">
        <v>1</v>
      </c>
      <c r="J28" s="23"/>
      <c r="K28" s="23">
        <v>10</v>
      </c>
      <c r="L28" s="23"/>
      <c r="M28" s="23"/>
      <c r="N28" s="23"/>
      <c r="O28" s="23"/>
      <c r="P28" s="23"/>
      <c r="Q28" s="23"/>
      <c r="R28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15</v>
      </c>
    </row>
    <row r="29" spans="1:22" x14ac:dyDescent="0.2">
      <c r="B29" s="29" t="s">
        <v>58</v>
      </c>
      <c r="C29" s="30" t="s">
        <v>59</v>
      </c>
      <c r="D29" s="31">
        <f>Tabla13111927374553616977859310110911712513314114913315716517318118915716517319720521322122923724525326126927728529330130931732533335347355363371379111927[[#This Row],[STOCK]]</f>
        <v>16</v>
      </c>
      <c r="E29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33</v>
      </c>
      <c r="F29" s="33">
        <v>30</v>
      </c>
      <c r="G29" s="30">
        <v>5</v>
      </c>
      <c r="H29" s="34">
        <v>8</v>
      </c>
      <c r="I29" s="30">
        <v>16</v>
      </c>
      <c r="J29" s="30"/>
      <c r="K29" s="30"/>
      <c r="L29" s="30"/>
      <c r="M29" s="30"/>
      <c r="N29" s="30"/>
      <c r="O29" s="30"/>
      <c r="P29" s="30"/>
      <c r="Q29" s="30"/>
      <c r="R29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21</v>
      </c>
    </row>
    <row r="30" spans="1:22" x14ac:dyDescent="0.2">
      <c r="B30" s="22" t="s">
        <v>60</v>
      </c>
      <c r="C30" s="23" t="s">
        <v>61</v>
      </c>
      <c r="D30" s="24">
        <f>Tabla13111927374553616977859310110911712513314114913315716517318118915716517319720521322122923724525326126927728529330130931732533335347355363371379111927[[#This Row],[STOCK]]</f>
        <v>17</v>
      </c>
      <c r="E30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17</v>
      </c>
      <c r="F30" s="26"/>
      <c r="G30" s="23"/>
      <c r="H30" s="27"/>
      <c r="I30" s="23"/>
      <c r="J30" s="23"/>
      <c r="K30" s="23"/>
      <c r="L30" s="23"/>
      <c r="M30" s="23"/>
      <c r="N30" s="23"/>
      <c r="O30" s="23"/>
      <c r="P30" s="23"/>
      <c r="Q30" s="23"/>
      <c r="R30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31" spans="1:22" x14ac:dyDescent="0.2">
      <c r="B31" s="29" t="s">
        <v>62</v>
      </c>
      <c r="C31" s="30" t="s">
        <v>63</v>
      </c>
      <c r="D31" s="31">
        <f>Tabla13111927374553616977859310110911712513314114913315716517318118915716517319720521322122923724525326126927728529330130931732533335347355363371379111927[[#This Row],[STOCK]]</f>
        <v>309</v>
      </c>
      <c r="E31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291</v>
      </c>
      <c r="F31" s="33"/>
      <c r="G31" s="30"/>
      <c r="H31" s="34"/>
      <c r="I31" s="30">
        <v>18</v>
      </c>
      <c r="J31" s="30"/>
      <c r="K31" s="30"/>
      <c r="L31" s="30"/>
      <c r="M31" s="30"/>
      <c r="N31" s="30"/>
      <c r="O31" s="30"/>
      <c r="P31" s="30"/>
      <c r="Q31" s="30"/>
      <c r="R31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18</v>
      </c>
    </row>
    <row r="32" spans="1:22" x14ac:dyDescent="0.2">
      <c r="B32" s="22" t="s">
        <v>64</v>
      </c>
      <c r="C32" s="23" t="s">
        <v>65</v>
      </c>
      <c r="D32" s="24">
        <f>Tabla13111927374553616977859310110911712513314114913315716517318118915716517319720521322122923724525326126927728529330130931732533335347355363371379111927[[#This Row],[STOCK]]</f>
        <v>49</v>
      </c>
      <c r="E32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229</v>
      </c>
      <c r="F32" s="26">
        <v>95</v>
      </c>
      <c r="G32" s="23">
        <v>30</v>
      </c>
      <c r="H32" s="27">
        <v>64</v>
      </c>
      <c r="I32" s="23">
        <v>21</v>
      </c>
      <c r="J32" s="23">
        <v>72</v>
      </c>
      <c r="K32" s="23"/>
      <c r="L32" s="23"/>
      <c r="M32" s="23"/>
      <c r="N32" s="23"/>
      <c r="O32" s="23"/>
      <c r="P32" s="23"/>
      <c r="Q32" s="23"/>
      <c r="R32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51</v>
      </c>
    </row>
    <row r="33" spans="2:18" x14ac:dyDescent="0.2">
      <c r="B33" s="29" t="s">
        <v>66</v>
      </c>
      <c r="C33" s="30" t="s">
        <v>67</v>
      </c>
      <c r="D33" s="31">
        <f>Tabla13111927374553616977859310110911712513314114913315716517318118915716517319720521322122923724525326126927728529330130931732533335347355363371379111927[[#This Row],[STOCK]]</f>
        <v>342</v>
      </c>
      <c r="E33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409</v>
      </c>
      <c r="F33" s="33"/>
      <c r="G33" s="30"/>
      <c r="H33" s="34">
        <v>70</v>
      </c>
      <c r="I33" s="30">
        <v>3</v>
      </c>
      <c r="J33" s="30"/>
      <c r="K33" s="30"/>
      <c r="L33" s="30"/>
      <c r="M33" s="30"/>
      <c r="N33" s="30"/>
      <c r="O33" s="30"/>
      <c r="P33" s="30"/>
      <c r="Q33" s="30"/>
      <c r="R33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3</v>
      </c>
    </row>
    <row r="34" spans="2:18" x14ac:dyDescent="0.2">
      <c r="B34" s="22" t="s">
        <v>68</v>
      </c>
      <c r="C34" s="23" t="s">
        <v>69</v>
      </c>
      <c r="D34" s="24">
        <f>Tabla13111927374553616977859310110911712513314114913315716517318118915716517319720521322122923724525326126927728529330130931732533335347355363371379111927[[#This Row],[STOCK]]</f>
        <v>0</v>
      </c>
      <c r="E34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0</v>
      </c>
      <c r="F34" s="26"/>
      <c r="G34" s="23"/>
      <c r="H34" s="27"/>
      <c r="I34" s="23"/>
      <c r="J34" s="23"/>
      <c r="K34" s="23"/>
      <c r="L34" s="23"/>
      <c r="M34" s="23"/>
      <c r="N34" s="23"/>
      <c r="O34" s="23"/>
      <c r="P34" s="23"/>
      <c r="Q34" s="23"/>
      <c r="R34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35" spans="2:18" x14ac:dyDescent="0.2">
      <c r="B35" s="29" t="s">
        <v>70</v>
      </c>
      <c r="C35" s="30" t="s">
        <v>71</v>
      </c>
      <c r="D35" s="31">
        <f>Tabla13111927374553616977859310110911712513314114913315716517318118915716517319720521322122923724525326126927728529330130931732533335347355363371379111927[[#This Row],[STOCK]]</f>
        <v>56</v>
      </c>
      <c r="E35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9</v>
      </c>
      <c r="F35" s="33"/>
      <c r="G35" s="30">
        <v>1</v>
      </c>
      <c r="H35" s="34"/>
      <c r="I35" s="30">
        <v>21</v>
      </c>
      <c r="J35" s="30"/>
      <c r="K35" s="30">
        <v>25</v>
      </c>
      <c r="L35" s="30"/>
      <c r="M35" s="30"/>
      <c r="N35" s="30"/>
      <c r="O35" s="30"/>
      <c r="P35" s="30"/>
      <c r="Q35" s="30"/>
      <c r="R35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47</v>
      </c>
    </row>
    <row r="36" spans="2:18" x14ac:dyDescent="0.2">
      <c r="B36" s="22" t="s">
        <v>72</v>
      </c>
      <c r="C36" s="23" t="s">
        <v>73</v>
      </c>
      <c r="D36" s="24">
        <f>Tabla13111927374553616977859310110911712513314114913315716517318118915716517319720521322122923724525326126927728529330130931732533335347355363371379111927[[#This Row],[STOCK]]</f>
        <v>101</v>
      </c>
      <c r="E36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119</v>
      </c>
      <c r="F36" s="26">
        <v>50</v>
      </c>
      <c r="G36" s="23">
        <v>38</v>
      </c>
      <c r="H36" s="27">
        <v>36</v>
      </c>
      <c r="I36" s="23">
        <v>30</v>
      </c>
      <c r="J36" s="23"/>
      <c r="K36" s="23"/>
      <c r="L36" s="23"/>
      <c r="M36" s="23"/>
      <c r="N36" s="23"/>
      <c r="O36" s="23"/>
      <c r="P36" s="23"/>
      <c r="Q36" s="23"/>
      <c r="R36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68</v>
      </c>
    </row>
    <row r="37" spans="2:18" ht="12.75" customHeight="1" x14ac:dyDescent="0.2">
      <c r="B37" s="29" t="s">
        <v>74</v>
      </c>
      <c r="C37" s="30" t="s">
        <v>75</v>
      </c>
      <c r="D37" s="31">
        <f>Tabla13111927374553616977859310110911712513314114913315716517318118915716517319720521322122923724525326126927728529330130931732533335347355363371379111927[[#This Row],[STOCK]]</f>
        <v>78</v>
      </c>
      <c r="E37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61</v>
      </c>
      <c r="F37" s="33"/>
      <c r="G37" s="30">
        <v>2</v>
      </c>
      <c r="H37" s="34"/>
      <c r="I37" s="30"/>
      <c r="J37" s="30"/>
      <c r="K37" s="30">
        <v>15</v>
      </c>
      <c r="L37" s="30"/>
      <c r="M37" s="30"/>
      <c r="N37" s="30"/>
      <c r="O37" s="30"/>
      <c r="P37" s="30"/>
      <c r="Q37" s="30"/>
      <c r="R37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17</v>
      </c>
    </row>
    <row r="38" spans="2:18" x14ac:dyDescent="0.2">
      <c r="B38" s="22" t="s">
        <v>76</v>
      </c>
      <c r="C38" s="23" t="s">
        <v>77</v>
      </c>
      <c r="D38" s="24">
        <f>Tabla13111927374553616977859310110911712513314114913315716517318118915716517319720521322122923724525326126927728529330130931732533335347355363371379111927[[#This Row],[STOCK]]</f>
        <v>75</v>
      </c>
      <c r="E38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115</v>
      </c>
      <c r="F38" s="26"/>
      <c r="G38" s="23"/>
      <c r="H38" s="27"/>
      <c r="I38" s="23"/>
      <c r="J38" s="23">
        <v>50</v>
      </c>
      <c r="K38" s="23">
        <v>10</v>
      </c>
      <c r="L38" s="23"/>
      <c r="M38" s="23"/>
      <c r="N38" s="23"/>
      <c r="O38" s="23"/>
      <c r="P38" s="23"/>
      <c r="Q38" s="23"/>
      <c r="R38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10</v>
      </c>
    </row>
    <row r="39" spans="2:18" x14ac:dyDescent="0.2">
      <c r="B39" s="29" t="s">
        <v>78</v>
      </c>
      <c r="C39" s="30" t="s">
        <v>79</v>
      </c>
      <c r="D39" s="31">
        <f>Tabla13111927374553616977859310110911712513314114913315716517318118915716517319720521322122923724525326126927728529330130931732533335347355363371379111927[[#This Row],[STOCK]]</f>
        <v>0</v>
      </c>
      <c r="E39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29</v>
      </c>
      <c r="F39" s="33">
        <v>31</v>
      </c>
      <c r="G39" s="30"/>
      <c r="H39" s="34">
        <v>18</v>
      </c>
      <c r="I39" s="30">
        <v>10</v>
      </c>
      <c r="J39" s="30"/>
      <c r="K39" s="30">
        <v>10</v>
      </c>
      <c r="L39" s="30"/>
      <c r="M39" s="30"/>
      <c r="N39" s="30"/>
      <c r="O39" s="30"/>
      <c r="P39" s="30"/>
      <c r="Q39" s="30"/>
      <c r="R39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20</v>
      </c>
    </row>
    <row r="40" spans="2:18" x14ac:dyDescent="0.2">
      <c r="B40" s="22" t="s">
        <v>80</v>
      </c>
      <c r="C40" s="23" t="s">
        <v>81</v>
      </c>
      <c r="D40" s="24">
        <f>Tabla13111927374553616977859310110911712513314114913315716517318118915716517319720521322122923724525326126927728529330130931732533335347355363371379111927[[#This Row],[STOCK]]</f>
        <v>91</v>
      </c>
      <c r="E40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88</v>
      </c>
      <c r="F40" s="26"/>
      <c r="G40" s="23">
        <v>3</v>
      </c>
      <c r="H40" s="27"/>
      <c r="I40" s="23"/>
      <c r="J40" s="23"/>
      <c r="K40" s="23"/>
      <c r="L40" s="23"/>
      <c r="M40" s="23"/>
      <c r="N40" s="23"/>
      <c r="O40" s="23"/>
      <c r="P40" s="23"/>
      <c r="Q40" s="23"/>
      <c r="R40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3</v>
      </c>
    </row>
    <row r="41" spans="2:18" x14ac:dyDescent="0.2">
      <c r="B41" s="29" t="s">
        <v>82</v>
      </c>
      <c r="C41" s="30" t="s">
        <v>83</v>
      </c>
      <c r="D41" s="31">
        <f>Tabla13111927374553616977859310110911712513314114913315716517318118915716517319720521322122923724525326126927728529330130931732533335347355363371379111927[[#This Row],[STOCK]]</f>
        <v>0</v>
      </c>
      <c r="E41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0</v>
      </c>
      <c r="F41" s="33"/>
      <c r="G41" s="30"/>
      <c r="H41" s="34"/>
      <c r="I41" s="30"/>
      <c r="J41" s="30"/>
      <c r="K41" s="30"/>
      <c r="L41" s="30"/>
      <c r="M41" s="30"/>
      <c r="N41" s="30"/>
      <c r="O41" s="30"/>
      <c r="P41" s="30"/>
      <c r="Q41" s="30"/>
      <c r="R41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42" spans="2:18" x14ac:dyDescent="0.2">
      <c r="B42" s="22" t="s">
        <v>84</v>
      </c>
      <c r="C42" s="23" t="s">
        <v>85</v>
      </c>
      <c r="D42" s="24">
        <f>Tabla13111927374553616977859310110911712513314114913315716517318118915716517319720521322122923724525326126927728529330130931732533335347355363371379111927[[#This Row],[STOCK]]</f>
        <v>72</v>
      </c>
      <c r="E42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72</v>
      </c>
      <c r="F42" s="26"/>
      <c r="G42" s="23"/>
      <c r="H42" s="27"/>
      <c r="I42" s="23"/>
      <c r="J42" s="23"/>
      <c r="K42" s="23"/>
      <c r="L42" s="23"/>
      <c r="M42" s="23"/>
      <c r="N42" s="23"/>
      <c r="O42" s="23"/>
      <c r="P42" s="23"/>
      <c r="Q42" s="23"/>
      <c r="R42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43" spans="2:18" x14ac:dyDescent="0.2">
      <c r="B43" s="29" t="s">
        <v>86</v>
      </c>
      <c r="C43" s="30" t="s">
        <v>87</v>
      </c>
      <c r="D43" s="24">
        <f>Tabla13111927374553616977859310110911712513314114913315716517318118915716517319720521322122923724525326126927728529330130931732533335347355363371379111927[[#This Row],[STOCK]]</f>
        <v>120</v>
      </c>
      <c r="E43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120</v>
      </c>
      <c r="F43" s="33"/>
      <c r="G43" s="30"/>
      <c r="H43" s="34"/>
      <c r="I43" s="30"/>
      <c r="J43" s="30"/>
      <c r="K43" s="30"/>
      <c r="L43" s="30"/>
      <c r="M43" s="30"/>
      <c r="N43" s="30"/>
      <c r="O43" s="30"/>
      <c r="P43" s="30"/>
      <c r="Q43" s="30"/>
      <c r="R43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44" spans="2:18" x14ac:dyDescent="0.2">
      <c r="B44" s="22" t="s">
        <v>88</v>
      </c>
      <c r="C44" s="23" t="s">
        <v>89</v>
      </c>
      <c r="D44" s="24">
        <f>Tabla13111927374553616977859310110911712513314114913315716517318118915716517319720521322122923724525326126927728529330130931732533335347355363371379111927[[#This Row],[STOCK]]</f>
        <v>281</v>
      </c>
      <c r="E44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281</v>
      </c>
      <c r="F44" s="26"/>
      <c r="G44" s="23"/>
      <c r="H44" s="27"/>
      <c r="I44" s="23"/>
      <c r="J44" s="23"/>
      <c r="K44" s="23"/>
      <c r="L44" s="23"/>
      <c r="M44" s="23"/>
      <c r="N44" s="23"/>
      <c r="O44" s="23"/>
      <c r="P44" s="23"/>
      <c r="Q44" s="23"/>
      <c r="R44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45" spans="2:18" x14ac:dyDescent="0.2">
      <c r="B45" s="29" t="s">
        <v>90</v>
      </c>
      <c r="C45" s="30" t="s">
        <v>91</v>
      </c>
      <c r="D45" s="31">
        <f>Tabla13111927374553616977859310110911712513314114913315716517318118915716517319720521322122923724525326126927728529330130931732533335347355363371379111927[[#This Row],[STOCK]]</f>
        <v>172</v>
      </c>
      <c r="E45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171</v>
      </c>
      <c r="F45" s="33"/>
      <c r="G45" s="30"/>
      <c r="H45" s="34"/>
      <c r="I45" s="30">
        <v>1</v>
      </c>
      <c r="J45" s="30"/>
      <c r="K45" s="30"/>
      <c r="L45" s="30"/>
      <c r="M45" s="30"/>
      <c r="N45" s="30"/>
      <c r="O45" s="30"/>
      <c r="P45" s="30"/>
      <c r="Q45" s="30"/>
      <c r="R45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1</v>
      </c>
    </row>
    <row r="46" spans="2:18" x14ac:dyDescent="0.2">
      <c r="B46" s="22" t="s">
        <v>92</v>
      </c>
      <c r="C46" s="23" t="s">
        <v>93</v>
      </c>
      <c r="D46" s="24">
        <f>Tabla13111927374553616977859310110911712513314114913315716517318118915716517319720521322122923724525326126927728529330130931732533335347355363371379111927[[#This Row],[STOCK]]</f>
        <v>157</v>
      </c>
      <c r="E46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156</v>
      </c>
      <c r="F46" s="26"/>
      <c r="G46" s="23"/>
      <c r="H46" s="27"/>
      <c r="I46" s="23">
        <v>1</v>
      </c>
      <c r="J46" s="23"/>
      <c r="K46" s="23"/>
      <c r="L46" s="23"/>
      <c r="M46" s="23"/>
      <c r="N46" s="23"/>
      <c r="O46" s="23"/>
      <c r="P46" s="23"/>
      <c r="Q46" s="23"/>
      <c r="R46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1</v>
      </c>
    </row>
    <row r="47" spans="2:18" x14ac:dyDescent="0.2">
      <c r="B47" s="29" t="s">
        <v>94</v>
      </c>
      <c r="C47" s="30" t="s">
        <v>95</v>
      </c>
      <c r="D47" s="31">
        <f>Tabla13111927374553616977859310110911712513314114913315716517318118915716517319720521322122923724525326126927728529330130931732533335347355363371379111927[[#This Row],[STOCK]]</f>
        <v>156</v>
      </c>
      <c r="E47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150</v>
      </c>
      <c r="F47" s="33"/>
      <c r="G47" s="30">
        <v>4</v>
      </c>
      <c r="H47" s="34"/>
      <c r="I47" s="30">
        <v>2</v>
      </c>
      <c r="J47" s="30"/>
      <c r="K47" s="30"/>
      <c r="L47" s="30"/>
      <c r="M47" s="30"/>
      <c r="N47" s="30"/>
      <c r="O47" s="30"/>
      <c r="P47" s="30"/>
      <c r="Q47" s="30"/>
      <c r="R47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6</v>
      </c>
    </row>
    <row r="48" spans="2:18" x14ac:dyDescent="0.2">
      <c r="B48" s="22" t="s">
        <v>96</v>
      </c>
      <c r="C48" s="23" t="s">
        <v>97</v>
      </c>
      <c r="D48" s="24">
        <f>Tabla13111927374553616977859310110911712513314114913315716517318118915716517319720521322122923724525326126927728529330130931732533335347355363371379111927[[#This Row],[STOCK]]</f>
        <v>166</v>
      </c>
      <c r="E48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318</v>
      </c>
      <c r="F48" s="26">
        <v>50</v>
      </c>
      <c r="G48" s="23"/>
      <c r="H48" s="27"/>
      <c r="I48" s="23">
        <v>3</v>
      </c>
      <c r="J48" s="23">
        <v>110</v>
      </c>
      <c r="K48" s="23">
        <v>5</v>
      </c>
      <c r="L48" s="23"/>
      <c r="M48" s="23"/>
      <c r="N48" s="23"/>
      <c r="O48" s="23"/>
      <c r="P48" s="23"/>
      <c r="Q48" s="23"/>
      <c r="R48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8</v>
      </c>
    </row>
    <row r="49" spans="2:18" x14ac:dyDescent="0.2">
      <c r="B49" s="29" t="s">
        <v>98</v>
      </c>
      <c r="C49" s="30" t="s">
        <v>99</v>
      </c>
      <c r="D49" s="31">
        <f>Tabla13111927374553616977859310110911712513314114913315716517318118915716517319720521322122923724525326126927728529330130931732533335347355363371379111927[[#This Row],[STOCK]]</f>
        <v>0</v>
      </c>
      <c r="E49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0</v>
      </c>
      <c r="F49" s="33"/>
      <c r="G49" s="30"/>
      <c r="H49" s="34"/>
      <c r="I49" s="30"/>
      <c r="J49" s="30"/>
      <c r="K49" s="30"/>
      <c r="L49" s="30"/>
      <c r="M49" s="30"/>
      <c r="N49" s="30"/>
      <c r="O49" s="30"/>
      <c r="P49" s="30"/>
      <c r="Q49" s="30"/>
      <c r="R49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50" spans="2:18" ht="13.5" customHeight="1" x14ac:dyDescent="0.2">
      <c r="B50" s="22" t="s">
        <v>100</v>
      </c>
      <c r="C50" s="23" t="s">
        <v>101</v>
      </c>
      <c r="D50" s="24">
        <f>Tabla13111927374553616977859310110911712513314114913315716517318118915716517319720521322122923724525326126927728529330130931732533335347355363371379111927[[#This Row],[STOCK]]</f>
        <v>43</v>
      </c>
      <c r="E50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43</v>
      </c>
      <c r="F50" s="26"/>
      <c r="G50" s="23"/>
      <c r="H50" s="27"/>
      <c r="I50" s="23"/>
      <c r="J50" s="23"/>
      <c r="K50" s="23"/>
      <c r="L50" s="23"/>
      <c r="M50" s="23"/>
      <c r="N50" s="23"/>
      <c r="O50" s="23"/>
      <c r="P50" s="23"/>
      <c r="Q50" s="23"/>
      <c r="R50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51" spans="2:18" x14ac:dyDescent="0.2">
      <c r="B51" s="29" t="s">
        <v>102</v>
      </c>
      <c r="C51" s="30" t="s">
        <v>103</v>
      </c>
      <c r="D51" s="31">
        <f>Tabla13111927374553616977859310110911712513314114913315716517318118915716517319720521322122923724525326126927728529330130931732533335347355363371379111927[[#This Row],[STOCK]]</f>
        <v>119</v>
      </c>
      <c r="E51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119</v>
      </c>
      <c r="F51" s="33"/>
      <c r="G51" s="30"/>
      <c r="H51" s="34"/>
      <c r="I51" s="30"/>
      <c r="J51" s="30"/>
      <c r="K51" s="30"/>
      <c r="L51" s="30"/>
      <c r="M51" s="30"/>
      <c r="N51" s="30"/>
      <c r="O51" s="30"/>
      <c r="P51" s="30"/>
      <c r="Q51" s="30"/>
      <c r="R51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52" spans="2:18" x14ac:dyDescent="0.2">
      <c r="B52" s="22" t="s">
        <v>104</v>
      </c>
      <c r="C52" s="23" t="s">
        <v>105</v>
      </c>
      <c r="D52" s="24">
        <f>Tabla13111927374553616977859310110911712513314114913315716517318118915716517319720521322122923724525326126927728529330130931732533335347355363371379111927[[#This Row],[STOCK]]</f>
        <v>0</v>
      </c>
      <c r="E52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0</v>
      </c>
      <c r="F52" s="26"/>
      <c r="G52" s="23"/>
      <c r="H52" s="27"/>
      <c r="I52" s="23"/>
      <c r="J52" s="23"/>
      <c r="K52" s="23"/>
      <c r="L52" s="23"/>
      <c r="M52" s="23"/>
      <c r="N52" s="23"/>
      <c r="O52" s="23"/>
      <c r="P52" s="23"/>
      <c r="Q52" s="23"/>
      <c r="R52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53" spans="2:18" x14ac:dyDescent="0.2">
      <c r="B53" s="29" t="s">
        <v>106</v>
      </c>
      <c r="C53" s="30" t="s">
        <v>107</v>
      </c>
      <c r="D53" s="31">
        <f>Tabla13111927374553616977859310110911712513314114913315716517318118915716517319720521322122923724525326126927728529330130931732533335347355363371379111927[[#This Row],[STOCK]]</f>
        <v>31</v>
      </c>
      <c r="E53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31</v>
      </c>
      <c r="F53" s="33"/>
      <c r="G53" s="30"/>
      <c r="H53" s="34"/>
      <c r="I53" s="30"/>
      <c r="J53" s="30"/>
      <c r="K53" s="30"/>
      <c r="L53" s="30"/>
      <c r="M53" s="30"/>
      <c r="N53" s="30"/>
      <c r="O53" s="30"/>
      <c r="P53" s="30"/>
      <c r="Q53" s="30"/>
      <c r="R53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54" spans="2:18" x14ac:dyDescent="0.2">
      <c r="B54" s="22" t="s">
        <v>108</v>
      </c>
      <c r="C54" s="23" t="s">
        <v>109</v>
      </c>
      <c r="D54" s="24">
        <f>Tabla13111927374553616977859310110911712513314114913315716517318118915716517319720521322122923724525326126927728529330130931732533335347355363371379111927[[#This Row],[STOCK]]</f>
        <v>0</v>
      </c>
      <c r="E54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0</v>
      </c>
      <c r="F54" s="26"/>
      <c r="G54" s="23"/>
      <c r="H54" s="27"/>
      <c r="I54" s="23"/>
      <c r="J54" s="23"/>
      <c r="K54" s="23"/>
      <c r="L54" s="23"/>
      <c r="M54" s="23"/>
      <c r="N54" s="23"/>
      <c r="O54" s="23"/>
      <c r="P54" s="23"/>
      <c r="Q54" s="23"/>
      <c r="R54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55" spans="2:18" x14ac:dyDescent="0.2">
      <c r="B55" s="29" t="s">
        <v>110</v>
      </c>
      <c r="C55" s="30" t="s">
        <v>111</v>
      </c>
      <c r="D55" s="31">
        <f>Tabla13111927374553616977859310110911712513314114913315716517318118915716517319720521322122923724525326126927728529330130931732533335347355363371379111927[[#This Row],[STOCK]]</f>
        <v>59</v>
      </c>
      <c r="E55" s="32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59</v>
      </c>
      <c r="F55" s="33"/>
      <c r="G55" s="30"/>
      <c r="H55" s="34"/>
      <c r="I55" s="30"/>
      <c r="J55" s="30"/>
      <c r="K55" s="30"/>
      <c r="L55" s="30"/>
      <c r="M55" s="30"/>
      <c r="N55" s="30"/>
      <c r="O55" s="30"/>
      <c r="P55" s="30"/>
      <c r="Q55" s="30"/>
      <c r="R55" s="35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56" spans="2:18" x14ac:dyDescent="0.2">
      <c r="B56" s="22" t="s">
        <v>112</v>
      </c>
      <c r="C56" s="23" t="s">
        <v>113</v>
      </c>
      <c r="D56" s="24">
        <f>Tabla13111927374553616977859310110911712513314114913315716517318118915716517319720521322122923724525326126927728529330130931732533335347355363371379111927[[#This Row],[STOCK]]</f>
        <v>86</v>
      </c>
      <c r="E56" s="25">
        <f>Tabla1311192737455361697785931011091171251331411491331571651731811891571651731972052132212292372452532612692772852933013093173253333534735536337137911192735[[#This Row],[INVENTARIO INICIAL]]+Tabla1311192737455361697785931011091171251331411491331571651731811891571651731972052132212292372452532612692772852933013093173253333534735536337137911192735[[#This Row],[INGRESO LUNES]]-Tabla1311192737455361697785931011091171251331411491331571651731811891571651731972052132212292372452532612692772852933013093173253333534735536337137911192735[[#This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Row],[INGRESO MARTES]]-Tabla1311192737455361697785931011091171251331411491331571651731811891571651731972052132212292372452532612692772852933013093173253333534735536337137911192735[[#This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Row],[INGRESO MIERCOLES]]-Tabla1311192737455361697785931011091171251331411491331571651731811891571651731972052132212292372452532612692772852933013093173253333534735536337137911192735[[#This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Row],[INGRESO JUEVES]]-Tabla1311192737455361697785931011091171251331411491331571651731811891571651731972052132212292372452532612692772852933013093173253333534735536337137911192735[[#This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Row],[INGRESO VIERNES]]-Tabla1311192737455361697785931011091171251331411491331571651731811891571651731972052132212292372452532612692772852933013093173253333534735536337137911192735[[#This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 INGRESO SABADO]]-Tabla1311192737455361697785931011091171251331411491331571651731811891571651731972052132212292372452532612692772852933013093173253333534735536337137911192735[[#This Row],[VENTA SABADO]]</f>
        <v>86</v>
      </c>
      <c r="F56" s="26"/>
      <c r="G56" s="23"/>
      <c r="H56" s="27"/>
      <c r="I56" s="23"/>
      <c r="J56" s="23"/>
      <c r="K56" s="23"/>
      <c r="L56" s="23"/>
      <c r="M56" s="23"/>
      <c r="N56" s="23"/>
      <c r="O56" s="23"/>
      <c r="P56" s="23"/>
      <c r="Q56" s="23"/>
      <c r="R56" s="28">
        <f>Tabla1311192737455361697785931011091171251331411491331571651731811891571651731972052132212292372452532612692772852933013093173253333534735536337137911192735[[#This Row],[VENTA LUNES]]+Tabla1311192737455361697785931011091171251331411491331571651731811891571651731972052132212292372452532612692772852933013093173253333534735536337137911192735[[#This Row],[VENTA MARTES]]+Tabla1311192737455361697785931011091171251331411491331571651731811891571651731972052132212292372452532612692772852933013093173253333534735536337137911192735[[#This Row],[VENTA MIERCOLES]]+Tabla1311192737455361697785931011091171251331411491331571651731811891571651731972052132212292372452532612692772852933013093173253333534735536337137911192735[[#This Row],[VENTA JUEVES]]+Tabla1311192737455361697785931011091171251331411491331571651731811891571651731972052132212292372452532612692772852933013093173253333534735536337137911192735[[#This Row],[VENTA VIERNES]]+Tabla1311192737455361697785931011091171251331411491331571651731811891571651731972052132212292372452532612692772852933013093173253333534735536337137911192735[[#This Row],[VENTA SABADO]]</f>
        <v>0</v>
      </c>
    </row>
    <row r="58" spans="2:18" ht="38.25" x14ac:dyDescent="0.2">
      <c r="B58" s="17" t="s">
        <v>114</v>
      </c>
      <c r="C58" s="17" t="s">
        <v>5</v>
      </c>
      <c r="D58" s="17" t="s">
        <v>6</v>
      </c>
      <c r="E58" s="17" t="s">
        <v>7</v>
      </c>
      <c r="F58" s="17" t="s">
        <v>8</v>
      </c>
      <c r="G58" s="17" t="s">
        <v>51</v>
      </c>
      <c r="H58" s="17" t="s">
        <v>10</v>
      </c>
      <c r="I58" s="17" t="s">
        <v>11</v>
      </c>
      <c r="J58" s="17" t="s">
        <v>12</v>
      </c>
      <c r="K58" s="17" t="s">
        <v>13</v>
      </c>
      <c r="L58" s="17" t="s">
        <v>14</v>
      </c>
      <c r="M58" s="17" t="s">
        <v>15</v>
      </c>
      <c r="N58" s="17" t="s">
        <v>16</v>
      </c>
      <c r="O58" s="17" t="s">
        <v>17</v>
      </c>
      <c r="P58" s="17" t="s">
        <v>18</v>
      </c>
      <c r="Q58" s="17" t="s">
        <v>19</v>
      </c>
      <c r="R58" s="17" t="s">
        <v>20</v>
      </c>
    </row>
    <row r="59" spans="2:18" x14ac:dyDescent="0.2">
      <c r="B59" s="22" t="s">
        <v>115</v>
      </c>
      <c r="C59" s="23" t="s">
        <v>116</v>
      </c>
      <c r="D59" s="24">
        <f>Tabla1341220283846546270788694102110118126134142150134158166174182190158166174198206214222230238246254262270278286294302310318326334340348356364372380122028[[#This Row],[STOCK]]</f>
        <v>362</v>
      </c>
      <c r="E59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355</v>
      </c>
      <c r="F59" s="23"/>
      <c r="G59" s="24"/>
      <c r="H59" s="39"/>
      <c r="I59" s="40">
        <v>7</v>
      </c>
      <c r="J59" s="41"/>
      <c r="K59" s="39"/>
      <c r="L59" s="40"/>
      <c r="M59" s="41"/>
      <c r="N59" s="39"/>
      <c r="O59" s="40"/>
      <c r="P59" s="41"/>
      <c r="Q59" s="39"/>
      <c r="R59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7</v>
      </c>
    </row>
    <row r="60" spans="2:18" x14ac:dyDescent="0.2">
      <c r="B60" s="29" t="s">
        <v>117</v>
      </c>
      <c r="C60" s="30" t="s">
        <v>118</v>
      </c>
      <c r="D60" s="31">
        <f>Tabla1341220283846546270788694102110118126134142150134158166174182190158166174198206214222230238246254262270278286294302310318326334340348356364372380122028[[#This Row],[STOCK]]</f>
        <v>134</v>
      </c>
      <c r="E60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134</v>
      </c>
      <c r="F60" s="30"/>
      <c r="G60" s="31"/>
      <c r="H60" s="42"/>
      <c r="I60" s="43"/>
      <c r="J60" s="44"/>
      <c r="K60" s="42"/>
      <c r="L60" s="43"/>
      <c r="M60" s="44"/>
      <c r="N60" s="42"/>
      <c r="O60" s="43"/>
      <c r="P60" s="44"/>
      <c r="Q60" s="42"/>
      <c r="R60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61" spans="2:18" x14ac:dyDescent="0.2">
      <c r="B61" s="22" t="s">
        <v>119</v>
      </c>
      <c r="C61" s="23" t="s">
        <v>120</v>
      </c>
      <c r="D61" s="24">
        <f>Tabla1341220283846546270788694102110118126134142150134158166174182190158166174198206214222230238246254262270278286294302310318326334340348356364372380122028[[#This Row],[STOCK]]</f>
        <v>608</v>
      </c>
      <c r="E61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823</v>
      </c>
      <c r="F61" s="23"/>
      <c r="G61" s="24"/>
      <c r="H61" s="39">
        <v>217</v>
      </c>
      <c r="I61" s="40">
        <v>2</v>
      </c>
      <c r="J61" s="41"/>
      <c r="K61" s="39"/>
      <c r="L61" s="40"/>
      <c r="M61" s="41"/>
      <c r="N61" s="39"/>
      <c r="O61" s="40"/>
      <c r="P61" s="41"/>
      <c r="Q61" s="39"/>
      <c r="R61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2</v>
      </c>
    </row>
    <row r="62" spans="2:18" x14ac:dyDescent="0.2">
      <c r="B62" s="29" t="s">
        <v>121</v>
      </c>
      <c r="C62" s="30" t="s">
        <v>122</v>
      </c>
      <c r="D62" s="31">
        <f>Tabla1341220283846546270788694102110118126134142150134158166174182190158166174198206214222230238246254262270278286294302310318326334340348356364372380122028[[#This Row],[STOCK]]</f>
        <v>489</v>
      </c>
      <c r="E62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489</v>
      </c>
      <c r="F62" s="30"/>
      <c r="G62" s="31"/>
      <c r="H62" s="42"/>
      <c r="I62" s="43"/>
      <c r="J62" s="44"/>
      <c r="K62" s="42"/>
      <c r="L62" s="43"/>
      <c r="M62" s="44"/>
      <c r="N62" s="42"/>
      <c r="O62" s="43"/>
      <c r="P62" s="44"/>
      <c r="Q62" s="42"/>
      <c r="R62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63" spans="2:18" x14ac:dyDescent="0.2">
      <c r="B63" s="22" t="s">
        <v>123</v>
      </c>
      <c r="C63" s="23" t="s">
        <v>124</v>
      </c>
      <c r="D63" s="24">
        <f>Tabla1341220283846546270788694102110118126134142150134158166174182190158166174198206214222230238246254262270278286294302310318326334340348356364372380122028[[#This Row],[STOCK]]</f>
        <v>101</v>
      </c>
      <c r="E63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101</v>
      </c>
      <c r="F63" s="23"/>
      <c r="G63" s="24"/>
      <c r="H63" s="39"/>
      <c r="I63" s="40"/>
      <c r="J63" s="41"/>
      <c r="K63" s="39"/>
      <c r="L63" s="40"/>
      <c r="M63" s="41"/>
      <c r="N63" s="39"/>
      <c r="O63" s="40"/>
      <c r="P63" s="41"/>
      <c r="Q63" s="39"/>
      <c r="R63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64" spans="2:18" x14ac:dyDescent="0.2">
      <c r="B64" s="29" t="s">
        <v>125</v>
      </c>
      <c r="C64" s="30" t="s">
        <v>126</v>
      </c>
      <c r="D64" s="31">
        <f>Tabla1341220283846546270788694102110118126134142150134158166174182190158166174198206214222230238246254262270278286294302310318326334340348356364372380122028[[#This Row],[STOCK]]</f>
        <v>594</v>
      </c>
      <c r="E64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594</v>
      </c>
      <c r="F64" s="30"/>
      <c r="G64" s="31"/>
      <c r="H64" s="42"/>
      <c r="I64" s="43"/>
      <c r="J64" s="44"/>
      <c r="K64" s="42"/>
      <c r="L64" s="43"/>
      <c r="M64" s="44"/>
      <c r="N64" s="42"/>
      <c r="O64" s="43"/>
      <c r="P64" s="44"/>
      <c r="Q64" s="42"/>
      <c r="R64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65" spans="2:18" x14ac:dyDescent="0.2">
      <c r="B65" s="22" t="s">
        <v>127</v>
      </c>
      <c r="C65" s="23" t="s">
        <v>128</v>
      </c>
      <c r="D65" s="24">
        <f>Tabla1341220283846546270788694102110118126134142150134158166174182190158166174198206214222230238246254262270278286294302310318326334340348356364372380122028[[#This Row],[STOCK]]</f>
        <v>666</v>
      </c>
      <c r="E65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666</v>
      </c>
      <c r="F65" s="23"/>
      <c r="G65" s="24"/>
      <c r="H65" s="39"/>
      <c r="I65" s="40"/>
      <c r="J65" s="41"/>
      <c r="K65" s="39"/>
      <c r="L65" s="40"/>
      <c r="M65" s="41"/>
      <c r="N65" s="39"/>
      <c r="O65" s="40"/>
      <c r="P65" s="41"/>
      <c r="Q65" s="39"/>
      <c r="R65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66" spans="2:18" x14ac:dyDescent="0.2">
      <c r="B66" s="29" t="s">
        <v>129</v>
      </c>
      <c r="C66" s="30" t="s">
        <v>130</v>
      </c>
      <c r="D66" s="31">
        <f>Tabla1341220283846546270788694102110118126134142150134158166174182190158166174198206214222230238246254262270278286294302310318326334340348356364372380122028[[#This Row],[STOCK]]</f>
        <v>275</v>
      </c>
      <c r="E66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275</v>
      </c>
      <c r="F66" s="30"/>
      <c r="G66" s="31"/>
      <c r="H66" s="42"/>
      <c r="I66" s="43"/>
      <c r="J66" s="44"/>
      <c r="K66" s="42"/>
      <c r="L66" s="43"/>
      <c r="M66" s="44"/>
      <c r="N66" s="42"/>
      <c r="O66" s="43"/>
      <c r="P66" s="44"/>
      <c r="Q66" s="42"/>
      <c r="R66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67" spans="2:18" x14ac:dyDescent="0.2">
      <c r="B67" s="22" t="s">
        <v>131</v>
      </c>
      <c r="C67" s="23" t="s">
        <v>132</v>
      </c>
      <c r="D67" s="24">
        <f>Tabla1341220283846546270788694102110118126134142150134158166174182190158166174198206214222230238246254262270278286294302310318326334340348356364372380122028[[#This Row],[STOCK]]</f>
        <v>0</v>
      </c>
      <c r="E67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0</v>
      </c>
      <c r="F67" s="23"/>
      <c r="G67" s="24"/>
      <c r="H67" s="39"/>
      <c r="I67" s="40"/>
      <c r="J67" s="41"/>
      <c r="K67" s="39"/>
      <c r="L67" s="40"/>
      <c r="M67" s="41"/>
      <c r="N67" s="39"/>
      <c r="O67" s="40"/>
      <c r="P67" s="41"/>
      <c r="Q67" s="39"/>
      <c r="R67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68" spans="2:18" x14ac:dyDescent="0.2">
      <c r="B68" s="29" t="s">
        <v>133</v>
      </c>
      <c r="C68" s="30" t="s">
        <v>134</v>
      </c>
      <c r="D68" s="31">
        <f>Tabla1341220283846546270788694102110118126134142150134158166174182190158166174198206214222230238246254262270278286294302310318326334340348356364372380122028[[#This Row],[STOCK]]</f>
        <v>0</v>
      </c>
      <c r="E68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0</v>
      </c>
      <c r="F68" s="30"/>
      <c r="G68" s="31"/>
      <c r="H68" s="42"/>
      <c r="I68" s="43"/>
      <c r="J68" s="44"/>
      <c r="K68" s="42"/>
      <c r="L68" s="43"/>
      <c r="M68" s="44"/>
      <c r="N68" s="42"/>
      <c r="O68" s="43"/>
      <c r="P68" s="44"/>
      <c r="Q68" s="42"/>
      <c r="R68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69" spans="2:18" s="45" customFormat="1" x14ac:dyDescent="0.2">
      <c r="B69" s="22" t="s">
        <v>135</v>
      </c>
      <c r="C69" s="23" t="s">
        <v>136</v>
      </c>
      <c r="D69" s="24">
        <f>Tabla1341220283846546270788694102110118126134142150134158166174182190158166174198206214222230238246254262270278286294302310318326334340348356364372380122028[[#This Row],[STOCK]]</f>
        <v>0</v>
      </c>
      <c r="E69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0</v>
      </c>
      <c r="F69" s="23"/>
      <c r="G69" s="24"/>
      <c r="H69" s="39"/>
      <c r="I69" s="40"/>
      <c r="J69" s="41"/>
      <c r="K69" s="39"/>
      <c r="L69" s="40"/>
      <c r="M69" s="41"/>
      <c r="N69" s="39"/>
      <c r="O69" s="40"/>
      <c r="P69" s="41"/>
      <c r="Q69" s="39"/>
      <c r="R69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70" spans="2:18" x14ac:dyDescent="0.2">
      <c r="B70" s="29" t="s">
        <v>137</v>
      </c>
      <c r="C70" s="30" t="s">
        <v>138</v>
      </c>
      <c r="D70" s="31">
        <f>Tabla1341220283846546270788694102110118126134142150134158166174182190158166174198206214222230238246254262270278286294302310318326334340348356364372380122028[[#This Row],[STOCK]]</f>
        <v>0</v>
      </c>
      <c r="E70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0</v>
      </c>
      <c r="F70" s="30"/>
      <c r="G70" s="31"/>
      <c r="H70" s="42"/>
      <c r="I70" s="43"/>
      <c r="J70" s="44"/>
      <c r="K70" s="42"/>
      <c r="L70" s="43"/>
      <c r="M70" s="44"/>
      <c r="N70" s="42"/>
      <c r="O70" s="43"/>
      <c r="P70" s="44"/>
      <c r="Q70" s="42"/>
      <c r="R70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71" spans="2:18" x14ac:dyDescent="0.2">
      <c r="B71" s="22" t="s">
        <v>139</v>
      </c>
      <c r="C71" s="23" t="s">
        <v>140</v>
      </c>
      <c r="D71" s="24">
        <f>Tabla1341220283846546270788694102110118126134142150134158166174182190158166174198206214222230238246254262270278286294302310318326334340348356364372380122028[[#This Row],[STOCK]]</f>
        <v>468</v>
      </c>
      <c r="E71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468</v>
      </c>
      <c r="F71" s="23"/>
      <c r="G71" s="24"/>
      <c r="H71" s="39"/>
      <c r="I71" s="40"/>
      <c r="J71" s="41"/>
      <c r="K71" s="39"/>
      <c r="L71" s="40"/>
      <c r="M71" s="41"/>
      <c r="N71" s="39"/>
      <c r="O71" s="40"/>
      <c r="P71" s="41"/>
      <c r="Q71" s="39"/>
      <c r="R71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72" spans="2:18" x14ac:dyDescent="0.2">
      <c r="B72" s="29" t="s">
        <v>141</v>
      </c>
      <c r="C72" s="30" t="s">
        <v>142</v>
      </c>
      <c r="D72" s="31">
        <f>Tabla1341220283846546270788694102110118126134142150134158166174182190158166174198206214222230238246254262270278286294302310318326334340348356364372380122028[[#This Row],[STOCK]]</f>
        <v>227</v>
      </c>
      <c r="E72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227</v>
      </c>
      <c r="F72" s="30"/>
      <c r="G72" s="31"/>
      <c r="H72" s="42"/>
      <c r="I72" s="43"/>
      <c r="J72" s="44"/>
      <c r="K72" s="42"/>
      <c r="L72" s="43"/>
      <c r="M72" s="44"/>
      <c r="N72" s="42"/>
      <c r="O72" s="43"/>
      <c r="P72" s="44"/>
      <c r="Q72" s="42"/>
      <c r="R72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73" spans="2:18" x14ac:dyDescent="0.2">
      <c r="B73" s="22" t="s">
        <v>143</v>
      </c>
      <c r="C73" s="23" t="s">
        <v>144</v>
      </c>
      <c r="D73" s="24">
        <f>Tabla1341220283846546270788694102110118126134142150134158166174182190158166174198206214222230238246254262270278286294302310318326334340348356364372380122028[[#This Row],[STOCK]]</f>
        <v>539</v>
      </c>
      <c r="E73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539</v>
      </c>
      <c r="F73" s="23"/>
      <c r="G73" s="24"/>
      <c r="H73" s="39"/>
      <c r="I73" s="40"/>
      <c r="J73" s="41"/>
      <c r="K73" s="39"/>
      <c r="L73" s="40"/>
      <c r="M73" s="41"/>
      <c r="N73" s="39"/>
      <c r="O73" s="40"/>
      <c r="P73" s="41"/>
      <c r="Q73" s="39"/>
      <c r="R73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74" spans="2:18" x14ac:dyDescent="0.2">
      <c r="B74" s="29" t="s">
        <v>145</v>
      </c>
      <c r="C74" s="30" t="s">
        <v>146</v>
      </c>
      <c r="D74" s="31">
        <f>Tabla1341220283846546270788694102110118126134142150134158166174182190158166174198206214222230238246254262270278286294302310318326334340348356364372380122028[[#This Row],[STOCK]]</f>
        <v>783</v>
      </c>
      <c r="E74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776</v>
      </c>
      <c r="F74" s="30"/>
      <c r="G74" s="31">
        <v>5</v>
      </c>
      <c r="H74" s="42"/>
      <c r="I74" s="43">
        <v>2</v>
      </c>
      <c r="J74" s="44"/>
      <c r="K74" s="42"/>
      <c r="L74" s="43"/>
      <c r="M74" s="44"/>
      <c r="N74" s="42"/>
      <c r="O74" s="43"/>
      <c r="P74" s="44"/>
      <c r="Q74" s="42"/>
      <c r="R74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7</v>
      </c>
    </row>
    <row r="75" spans="2:18" x14ac:dyDescent="0.2">
      <c r="B75" s="22" t="s">
        <v>147</v>
      </c>
      <c r="C75" s="23" t="s">
        <v>148</v>
      </c>
      <c r="D75" s="24">
        <f>Tabla1341220283846546270788694102110118126134142150134158166174182190158166174198206214222230238246254262270278286294302310318326334340348356364372380122028[[#This Row],[STOCK]]</f>
        <v>266</v>
      </c>
      <c r="E75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372</v>
      </c>
      <c r="F75" s="23"/>
      <c r="G75" s="24"/>
      <c r="H75" s="39"/>
      <c r="I75" s="40">
        <v>2</v>
      </c>
      <c r="J75" s="41">
        <v>108</v>
      </c>
      <c r="K75" s="39"/>
      <c r="L75" s="40"/>
      <c r="M75" s="41"/>
      <c r="N75" s="39"/>
      <c r="O75" s="40"/>
      <c r="P75" s="41"/>
      <c r="Q75" s="39"/>
      <c r="R75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2</v>
      </c>
    </row>
    <row r="76" spans="2:18" x14ac:dyDescent="0.2">
      <c r="B76" s="29" t="s">
        <v>149</v>
      </c>
      <c r="C76" s="30" t="s">
        <v>150</v>
      </c>
      <c r="D76" s="31">
        <f>Tabla1341220283846546270788694102110118126134142150134158166174182190158166174198206214222230238246254262270278286294302310318326334340348356364372380122028[[#This Row],[STOCK]]</f>
        <v>65</v>
      </c>
      <c r="E76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65</v>
      </c>
      <c r="F76" s="30"/>
      <c r="G76" s="31"/>
      <c r="H76" s="42"/>
      <c r="I76" s="43"/>
      <c r="J76" s="44"/>
      <c r="K76" s="42"/>
      <c r="L76" s="43"/>
      <c r="M76" s="44"/>
      <c r="N76" s="42"/>
      <c r="O76" s="43"/>
      <c r="P76" s="44"/>
      <c r="Q76" s="42"/>
      <c r="R76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77" spans="2:18" x14ac:dyDescent="0.2">
      <c r="B77" s="22" t="s">
        <v>151</v>
      </c>
      <c r="C77" s="23" t="s">
        <v>152</v>
      </c>
      <c r="D77" s="24">
        <f>Tabla1341220283846546270788694102110118126134142150134158166174182190158166174198206214222230238246254262270278286294302310318326334340348356364372380122028[[#This Row],[STOCK]]</f>
        <v>498</v>
      </c>
      <c r="E77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498</v>
      </c>
      <c r="F77" s="23"/>
      <c r="G77" s="24"/>
      <c r="H77" s="39"/>
      <c r="I77" s="40"/>
      <c r="J77" s="41"/>
      <c r="K77" s="39"/>
      <c r="L77" s="40"/>
      <c r="M77" s="41"/>
      <c r="N77" s="39"/>
      <c r="O77" s="40"/>
      <c r="P77" s="41"/>
      <c r="Q77" s="39"/>
      <c r="R77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78" spans="2:18" x14ac:dyDescent="0.2">
      <c r="B78" s="29" t="s">
        <v>153</v>
      </c>
      <c r="C78" s="30" t="s">
        <v>154</v>
      </c>
      <c r="D78" s="31">
        <f>Tabla1341220283846546270788694102110118126134142150134158166174182190158166174198206214222230238246254262270278286294302310318326334340348356364372380122028[[#This Row],[STOCK]]</f>
        <v>426</v>
      </c>
      <c r="E78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426</v>
      </c>
      <c r="F78" s="30"/>
      <c r="G78" s="31"/>
      <c r="H78" s="42"/>
      <c r="I78" s="43"/>
      <c r="J78" s="44"/>
      <c r="K78" s="42"/>
      <c r="L78" s="43"/>
      <c r="M78" s="44"/>
      <c r="N78" s="42"/>
      <c r="O78" s="43"/>
      <c r="P78" s="44"/>
      <c r="Q78" s="42"/>
      <c r="R78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79" spans="2:18" x14ac:dyDescent="0.2">
      <c r="B79" s="22" t="s">
        <v>155</v>
      </c>
      <c r="C79" s="23" t="s">
        <v>156</v>
      </c>
      <c r="D79" s="24">
        <f>Tabla1341220283846546270788694102110118126134142150134158166174182190158166174198206214222230238246254262270278286294302310318326334340348356364372380122028[[#This Row],[STOCK]]</f>
        <v>137</v>
      </c>
      <c r="E79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137</v>
      </c>
      <c r="F79" s="23"/>
      <c r="G79" s="24"/>
      <c r="H79" s="39"/>
      <c r="I79" s="40"/>
      <c r="J79" s="41"/>
      <c r="K79" s="39"/>
      <c r="L79" s="40"/>
      <c r="M79" s="41"/>
      <c r="N79" s="39"/>
      <c r="O79" s="40"/>
      <c r="P79" s="41"/>
      <c r="Q79" s="39"/>
      <c r="R79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80" spans="2:18" x14ac:dyDescent="0.2">
      <c r="B80" s="29" t="s">
        <v>157</v>
      </c>
      <c r="C80" s="30" t="s">
        <v>158</v>
      </c>
      <c r="D80" s="31">
        <f>Tabla1341220283846546270788694102110118126134142150134158166174182190158166174198206214222230238246254262270278286294302310318326334340348356364372380122028[[#This Row],[STOCK]]</f>
        <v>782</v>
      </c>
      <c r="E80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782</v>
      </c>
      <c r="F80" s="30"/>
      <c r="G80" s="31"/>
      <c r="H80" s="42"/>
      <c r="I80" s="43"/>
      <c r="J80" s="44"/>
      <c r="K80" s="42"/>
      <c r="L80" s="43"/>
      <c r="M80" s="44"/>
      <c r="N80" s="42"/>
      <c r="O80" s="43"/>
      <c r="P80" s="44"/>
      <c r="Q80" s="42"/>
      <c r="R80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81" spans="2:18" s="53" customFormat="1" x14ac:dyDescent="0.2">
      <c r="B81" s="46" t="s">
        <v>159</v>
      </c>
      <c r="C81" s="47" t="s">
        <v>160</v>
      </c>
      <c r="D81" s="48">
        <f>Tabla1341220283846546270788694102110118126134142150134158166174182190158166174198206214222230238246254262270278286294302310318326334340348356364372380122028[[#This Row],[STOCK]]</f>
        <v>255</v>
      </c>
      <c r="E81" s="49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247</v>
      </c>
      <c r="F81" s="47"/>
      <c r="G81" s="48">
        <v>1</v>
      </c>
      <c r="H81" s="50"/>
      <c r="I81" s="51">
        <v>7</v>
      </c>
      <c r="J81" s="52"/>
      <c r="K81" s="50"/>
      <c r="L81" s="51"/>
      <c r="M81" s="52"/>
      <c r="N81" s="50"/>
      <c r="O81" s="51"/>
      <c r="P81" s="52"/>
      <c r="Q81" s="50"/>
      <c r="R81" s="47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8</v>
      </c>
    </row>
    <row r="82" spans="2:18" x14ac:dyDescent="0.2">
      <c r="B82" s="29" t="s">
        <v>161</v>
      </c>
      <c r="C82" s="30" t="s">
        <v>162</v>
      </c>
      <c r="D82" s="31">
        <f>Tabla1341220283846546270788694102110118126134142150134158166174182190158166174198206214222230238246254262270278286294302310318326334340348356364372380122028[[#This Row],[STOCK]]</f>
        <v>503</v>
      </c>
      <c r="E82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500</v>
      </c>
      <c r="F82" s="30"/>
      <c r="G82" s="31">
        <v>1</v>
      </c>
      <c r="H82" s="42"/>
      <c r="I82" s="43">
        <v>2</v>
      </c>
      <c r="J82" s="44"/>
      <c r="K82" s="42"/>
      <c r="L82" s="43"/>
      <c r="M82" s="44"/>
      <c r="N82" s="42"/>
      <c r="O82" s="43"/>
      <c r="P82" s="44"/>
      <c r="Q82" s="42"/>
      <c r="R82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3</v>
      </c>
    </row>
    <row r="83" spans="2:18" x14ac:dyDescent="0.2">
      <c r="B83" s="22" t="s">
        <v>163</v>
      </c>
      <c r="C83" s="23" t="s">
        <v>164</v>
      </c>
      <c r="D83" s="24">
        <f>Tabla1341220283846546270788694102110118126134142150134158166174182190158166174198206214222230238246254262270278286294302310318326334340348356364372380122028[[#This Row],[STOCK]]</f>
        <v>222</v>
      </c>
      <c r="E83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209</v>
      </c>
      <c r="F83" s="23"/>
      <c r="G83" s="24">
        <v>3</v>
      </c>
      <c r="H83" s="39"/>
      <c r="I83" s="40">
        <v>10</v>
      </c>
      <c r="J83" s="41"/>
      <c r="K83" s="39"/>
      <c r="L83" s="40"/>
      <c r="M83" s="41"/>
      <c r="N83" s="39"/>
      <c r="O83" s="40"/>
      <c r="P83" s="41"/>
      <c r="Q83" s="39"/>
      <c r="R83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13</v>
      </c>
    </row>
    <row r="84" spans="2:18" x14ac:dyDescent="0.2">
      <c r="B84" s="29" t="s">
        <v>165</v>
      </c>
      <c r="C84" s="30" t="s">
        <v>166</v>
      </c>
      <c r="D84" s="31">
        <f>Tabla1341220283846546270788694102110118126134142150134158166174182190158166174198206214222230238246254262270278286294302310318326334340348356364372380122028[[#This Row],[STOCK]]</f>
        <v>268</v>
      </c>
      <c r="E84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268</v>
      </c>
      <c r="F84" s="30"/>
      <c r="G84" s="31"/>
      <c r="H84" s="42"/>
      <c r="I84" s="43"/>
      <c r="J84" s="44"/>
      <c r="K84" s="42"/>
      <c r="L84" s="43"/>
      <c r="M84" s="44"/>
      <c r="N84" s="42"/>
      <c r="O84" s="43"/>
      <c r="P84" s="44"/>
      <c r="Q84" s="42"/>
      <c r="R84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85" spans="2:18" x14ac:dyDescent="0.2">
      <c r="B85" s="22" t="s">
        <v>167</v>
      </c>
      <c r="C85" s="23" t="s">
        <v>168</v>
      </c>
      <c r="D85" s="24">
        <f>Tabla1341220283846546270788694102110118126134142150134158166174182190158166174198206214222230238246254262270278286294302310318326334340348356364372380122028[[#This Row],[STOCK]]</f>
        <v>17</v>
      </c>
      <c r="E85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17</v>
      </c>
      <c r="F85" s="23"/>
      <c r="G85" s="24"/>
      <c r="H85" s="39"/>
      <c r="I85" s="40"/>
      <c r="J85" s="41"/>
      <c r="K85" s="39"/>
      <c r="L85" s="40"/>
      <c r="M85" s="41"/>
      <c r="N85" s="39"/>
      <c r="O85" s="40"/>
      <c r="P85" s="41"/>
      <c r="Q85" s="39"/>
      <c r="R85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86" spans="2:18" x14ac:dyDescent="0.2">
      <c r="B86" s="29" t="s">
        <v>169</v>
      </c>
      <c r="C86" s="30" t="s">
        <v>170</v>
      </c>
      <c r="D86" s="31">
        <f>Tabla1341220283846546270788694102110118126134142150134158166174182190158166174198206214222230238246254262270278286294302310318326334340348356364372380122028[[#This Row],[STOCK]]</f>
        <v>291</v>
      </c>
      <c r="E86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291</v>
      </c>
      <c r="F86" s="30"/>
      <c r="G86" s="31"/>
      <c r="H86" s="42"/>
      <c r="I86" s="43"/>
      <c r="J86" s="44"/>
      <c r="K86" s="42"/>
      <c r="L86" s="43"/>
      <c r="M86" s="44"/>
      <c r="N86" s="42"/>
      <c r="O86" s="43"/>
      <c r="P86" s="44"/>
      <c r="Q86" s="42"/>
      <c r="R86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87" spans="2:18" x14ac:dyDescent="0.2">
      <c r="B87" s="22" t="s">
        <v>171</v>
      </c>
      <c r="C87" s="23" t="s">
        <v>172</v>
      </c>
      <c r="D87" s="24">
        <f>Tabla1341220283846546270788694102110118126134142150134158166174182190158166174198206214222230238246254262270278286294302310318326334340348356364372380122028[[#This Row],[STOCK]]</f>
        <v>78</v>
      </c>
      <c r="E87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70</v>
      </c>
      <c r="F87" s="23"/>
      <c r="G87" s="24">
        <v>1</v>
      </c>
      <c r="H87" s="39"/>
      <c r="I87" s="40">
        <v>7</v>
      </c>
      <c r="J87" s="41"/>
      <c r="K87" s="39"/>
      <c r="L87" s="40"/>
      <c r="M87" s="41"/>
      <c r="N87" s="39"/>
      <c r="O87" s="40"/>
      <c r="P87" s="41"/>
      <c r="Q87" s="39"/>
      <c r="R87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8</v>
      </c>
    </row>
    <row r="88" spans="2:18" x14ac:dyDescent="0.2">
      <c r="B88" s="29" t="s">
        <v>173</v>
      </c>
      <c r="C88" s="30" t="s">
        <v>174</v>
      </c>
      <c r="D88" s="31">
        <f>Tabla1341220283846546270788694102110118126134142150134158166174182190158166174198206214222230238246254262270278286294302310318326334340348356364372380122028[[#This Row],[STOCK]]</f>
        <v>375</v>
      </c>
      <c r="E88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372</v>
      </c>
      <c r="F88" s="30"/>
      <c r="G88" s="31">
        <v>1</v>
      </c>
      <c r="H88" s="42"/>
      <c r="I88" s="43">
        <v>2</v>
      </c>
      <c r="J88" s="44"/>
      <c r="K88" s="42"/>
      <c r="L88" s="43"/>
      <c r="M88" s="44"/>
      <c r="N88" s="42"/>
      <c r="O88" s="43"/>
      <c r="P88" s="44"/>
      <c r="Q88" s="42"/>
      <c r="R88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3</v>
      </c>
    </row>
    <row r="89" spans="2:18" x14ac:dyDescent="0.2">
      <c r="B89" s="22" t="s">
        <v>175</v>
      </c>
      <c r="C89" s="23" t="s">
        <v>176</v>
      </c>
      <c r="D89" s="24">
        <f>Tabla1341220283846546270788694102110118126134142150134158166174182190158166174198206214222230238246254262270278286294302310318326334340348356364372380122028[[#This Row],[STOCK]]</f>
        <v>44</v>
      </c>
      <c r="E89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31</v>
      </c>
      <c r="F89" s="23"/>
      <c r="G89" s="24">
        <v>3</v>
      </c>
      <c r="H89" s="39"/>
      <c r="I89" s="40">
        <v>10</v>
      </c>
      <c r="J89" s="41"/>
      <c r="K89" s="39"/>
      <c r="L89" s="40"/>
      <c r="M89" s="41"/>
      <c r="N89" s="39"/>
      <c r="O89" s="40"/>
      <c r="P89" s="41"/>
      <c r="Q89" s="39"/>
      <c r="R89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13</v>
      </c>
    </row>
    <row r="90" spans="2:18" x14ac:dyDescent="0.2">
      <c r="B90" s="29" t="s">
        <v>177</v>
      </c>
      <c r="C90" s="30" t="s">
        <v>178</v>
      </c>
      <c r="D90" s="31">
        <f>Tabla1341220283846546270788694102110118126134142150134158166174182190158166174198206214222230238246254262270278286294302310318326334340348356364372380122028[[#This Row],[STOCK]]</f>
        <v>349</v>
      </c>
      <c r="E90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349</v>
      </c>
      <c r="F90" s="30"/>
      <c r="G90" s="31"/>
      <c r="H90" s="42"/>
      <c r="I90" s="43"/>
      <c r="J90" s="44"/>
      <c r="K90" s="42"/>
      <c r="L90" s="43"/>
      <c r="M90" s="44"/>
      <c r="N90" s="42"/>
      <c r="O90" s="43"/>
      <c r="P90" s="44"/>
      <c r="Q90" s="42"/>
      <c r="R90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91" spans="2:18" x14ac:dyDescent="0.2">
      <c r="B91" s="22" t="s">
        <v>179</v>
      </c>
      <c r="C91" s="23" t="s">
        <v>180</v>
      </c>
      <c r="D91" s="24">
        <f>Tabla1341220283846546270788694102110118126134142150134158166174182190158166174198206214222230238246254262270278286294302310318326334340348356364372380122028[[#This Row],[STOCK]]</f>
        <v>39</v>
      </c>
      <c r="E91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38</v>
      </c>
      <c r="F91" s="23"/>
      <c r="G91" s="24">
        <v>1</v>
      </c>
      <c r="H91" s="39"/>
      <c r="I91" s="40"/>
      <c r="J91" s="41"/>
      <c r="K91" s="39"/>
      <c r="L91" s="40"/>
      <c r="M91" s="41"/>
      <c r="N91" s="39"/>
      <c r="O91" s="40"/>
      <c r="P91" s="41"/>
      <c r="Q91" s="39"/>
      <c r="R91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1</v>
      </c>
    </row>
    <row r="92" spans="2:18" x14ac:dyDescent="0.2">
      <c r="B92" s="29" t="s">
        <v>181</v>
      </c>
      <c r="C92" s="30" t="s">
        <v>182</v>
      </c>
      <c r="D92" s="31">
        <f>Tabla1341220283846546270788694102110118126134142150134158166174182190158166174198206214222230238246254262270278286294302310318326334340348356364372380122028[[#This Row],[STOCK]]</f>
        <v>293</v>
      </c>
      <c r="E92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292</v>
      </c>
      <c r="F92" s="30"/>
      <c r="G92" s="31">
        <v>1</v>
      </c>
      <c r="H92" s="42"/>
      <c r="I92" s="43"/>
      <c r="J92" s="44"/>
      <c r="K92" s="42"/>
      <c r="L92" s="43"/>
      <c r="M92" s="44"/>
      <c r="N92" s="42"/>
      <c r="O92" s="43"/>
      <c r="P92" s="44"/>
      <c r="Q92" s="42"/>
      <c r="R92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1</v>
      </c>
    </row>
    <row r="93" spans="2:18" x14ac:dyDescent="0.2">
      <c r="B93" s="22" t="s">
        <v>183</v>
      </c>
      <c r="C93" s="23" t="s">
        <v>184</v>
      </c>
      <c r="D93" s="24">
        <f>Tabla1341220283846546270788694102110118126134142150134158166174182190158166174198206214222230238246254262270278286294302310318326334340348356364372380122028[[#This Row],[STOCK]]</f>
        <v>0</v>
      </c>
      <c r="E93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0</v>
      </c>
      <c r="F93" s="23"/>
      <c r="G93" s="24"/>
      <c r="H93" s="39"/>
      <c r="I93" s="40"/>
      <c r="J93" s="41"/>
      <c r="K93" s="39"/>
      <c r="L93" s="40"/>
      <c r="M93" s="41"/>
      <c r="N93" s="39"/>
      <c r="O93" s="40"/>
      <c r="P93" s="41"/>
      <c r="Q93" s="39"/>
      <c r="R93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94" spans="2:18" x14ac:dyDescent="0.2">
      <c r="B94" s="29" t="s">
        <v>185</v>
      </c>
      <c r="C94" s="30" t="s">
        <v>186</v>
      </c>
      <c r="D94" s="31">
        <f>Tabla1341220283846546270788694102110118126134142150134158166174182190158166174198206214222230238246254262270278286294302310318326334340348356364372380122028[[#This Row],[STOCK]]</f>
        <v>0</v>
      </c>
      <c r="E94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0</v>
      </c>
      <c r="F94" s="30"/>
      <c r="G94" s="31"/>
      <c r="H94" s="42"/>
      <c r="I94" s="43"/>
      <c r="J94" s="44"/>
      <c r="K94" s="42"/>
      <c r="L94" s="43"/>
      <c r="M94" s="44"/>
      <c r="N94" s="42"/>
      <c r="O94" s="43"/>
      <c r="P94" s="44"/>
      <c r="Q94" s="42"/>
      <c r="R94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95" spans="2:18" x14ac:dyDescent="0.2">
      <c r="B95" s="22" t="s">
        <v>187</v>
      </c>
      <c r="C95" s="23" t="s">
        <v>188</v>
      </c>
      <c r="D95" s="24">
        <f>Tabla1341220283846546270788694102110118126134142150134158166174182190158166174198206214222230238246254262270278286294302310318326334340348356364372380122028[[#This Row],[STOCK]]</f>
        <v>0</v>
      </c>
      <c r="E95" s="25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0</v>
      </c>
      <c r="F95" s="23"/>
      <c r="G95" s="24"/>
      <c r="H95" s="39"/>
      <c r="I95" s="40"/>
      <c r="J95" s="41"/>
      <c r="K95" s="39"/>
      <c r="L95" s="40"/>
      <c r="M95" s="41"/>
      <c r="N95" s="39"/>
      <c r="O95" s="40"/>
      <c r="P95" s="41"/>
      <c r="Q95" s="39"/>
      <c r="R95" s="23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96" spans="2:18" x14ac:dyDescent="0.2">
      <c r="B96" s="29" t="s">
        <v>189</v>
      </c>
      <c r="C96" s="30" t="s">
        <v>190</v>
      </c>
      <c r="D96" s="31">
        <f>Tabla1341220283846546270788694102110118126134142150134158166174182190158166174198206214222230238246254262270278286294302310318326334340348356364372380122028[[#This Row],[STOCK]]</f>
        <v>0</v>
      </c>
      <c r="E96" s="32">
        <f>Tabla134122028384654627078869410211011812613414215013415816617418219015816617419820621422223023824625426227027828629430231031832633434034835636437238012202836[[#This Row],[INVENTARIO INICIAL]]+Tabla134122028384654627078869410211011812613414215013415816617418219015816617419820621422223023824625426227027828629430231031832633434034835636437238012202836[[#This Row],[INGRESO LUNES]]-Tabla134122028384654627078869410211011812613414215013415816617418219015816617419820621422223023824625426227027828629430231031832633434034835636437238012202836[[#This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Row],[INGRESO MARTES]]-Tabla134122028384654627078869410211011812613414215013415816617418219015816617419820621422223023824625426227027828629430231031832633434034835636437238012202836[[#This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Row],[INGRESO MIERCOLES]]-Tabla134122028384654627078869410211011812613414215013415816617418219015816617419820621422223023824625426227027828629430231031832633434034835636437238012202836[[#This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Row],[INGRESO JUEVES]]-Tabla134122028384654627078869410211011812613414215013415816617418219015816617419820621422223023824625426227027828629430231031832633434034835636437238012202836[[#This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Row],[INGRESO VIERNES]]-Tabla134122028384654627078869410211011812613414215013415816617418219015816617419820621422223023824625426227027828629430231031832633434034835636437238012202836[[#This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 INGRESO SABADO]]-Tabla134122028384654627078869410211011812613414215013415816617418219015816617419820621422223023824625426227027828629430231031832633434034835636437238012202836[[#This Row],[VENTA SABADO]]</f>
        <v>0</v>
      </c>
      <c r="F96" s="30"/>
      <c r="G96" s="31"/>
      <c r="H96" s="42"/>
      <c r="I96" s="43"/>
      <c r="J96" s="44"/>
      <c r="K96" s="42"/>
      <c r="L96" s="43"/>
      <c r="M96" s="44"/>
      <c r="N96" s="42"/>
      <c r="O96" s="43"/>
      <c r="P96" s="44"/>
      <c r="Q96" s="42"/>
      <c r="R96" s="30">
        <f>Tabla134122028384654627078869410211011812613414215013415816617418219015816617419820621422223023824625426227027828629430231031832633434034835636437238012202836[[#This Row],[VENTA LUNES]]+Tabla134122028384654627078869410211011812613414215013415816617418219015816617419820621422223023824625426227027828629430231031832633434034835636437238012202836[[#This Row],[VENTA MARTES]]+Tabla134122028384654627078869410211011812613414215013415816617418219015816617419820621422223023824625426227027828629430231031832633434034835636437238012202836[[#This Row],[VENTA MIERCOLES]]+Tabla134122028384654627078869410211011812613414215013415816617418219015816617419820621422223023824625426227027828629430231031832633434034835636437238012202836[[#This Row],[VENTA JUEVES]]+Tabla134122028384654627078869410211011812613414215013415816617418219015816617419820621422223023824625426227027828629430231031832633434034835636437238012202836[[#This Row],[VENTA VIERNES]]+Tabla134122028384654627078869410211011812613414215013415816617418219015816617419820621422223023824625426227027828629430231031832633434034835636437238012202836[[#This Row],[VENTA SABADO]]</f>
        <v>0</v>
      </c>
    </row>
    <row r="98" spans="2:18" s="54" customFormat="1" ht="38.25" x14ac:dyDescent="0.2">
      <c r="B98" s="17" t="s">
        <v>191</v>
      </c>
      <c r="C98" s="17" t="s">
        <v>5</v>
      </c>
      <c r="D98" s="17" t="s">
        <v>6</v>
      </c>
      <c r="E98" s="37" t="s">
        <v>7</v>
      </c>
      <c r="F98" s="17" t="s">
        <v>8</v>
      </c>
      <c r="G98" s="17" t="s">
        <v>51</v>
      </c>
      <c r="H98" s="17" t="s">
        <v>10</v>
      </c>
      <c r="I98" s="17" t="s">
        <v>11</v>
      </c>
      <c r="J98" s="17" t="s">
        <v>12</v>
      </c>
      <c r="K98" s="17" t="s">
        <v>13</v>
      </c>
      <c r="L98" s="17" t="s">
        <v>14</v>
      </c>
      <c r="M98" s="17" t="s">
        <v>15</v>
      </c>
      <c r="N98" s="17" t="s">
        <v>16</v>
      </c>
      <c r="O98" s="17" t="s">
        <v>17</v>
      </c>
      <c r="P98" s="17" t="s">
        <v>18</v>
      </c>
      <c r="Q98" s="17" t="s">
        <v>19</v>
      </c>
      <c r="R98" s="17" t="s">
        <v>20</v>
      </c>
    </row>
    <row r="99" spans="2:18" x14ac:dyDescent="0.2">
      <c r="B99" s="22" t="s">
        <v>192</v>
      </c>
      <c r="C99" s="23" t="s">
        <v>193</v>
      </c>
      <c r="D99" s="24">
        <f>Tabla13461321293947556371798795103111119127135143151135159167175183191159167175199207215223231239247255263271279287295303311319327335341349357365373381132129[[#This Row],[STOCK]]</f>
        <v>773</v>
      </c>
      <c r="E99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755</v>
      </c>
      <c r="F99" s="23"/>
      <c r="G99" s="24">
        <v>5</v>
      </c>
      <c r="H99" s="39"/>
      <c r="I99" s="40">
        <v>13</v>
      </c>
      <c r="J99" s="41"/>
      <c r="K99" s="39"/>
      <c r="L99" s="40"/>
      <c r="M99" s="41"/>
      <c r="N99" s="39"/>
      <c r="O99" s="40"/>
      <c r="P99" s="41"/>
      <c r="Q99" s="39"/>
      <c r="R99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18</v>
      </c>
    </row>
    <row r="100" spans="2:18" x14ac:dyDescent="0.2">
      <c r="B100" s="29" t="s">
        <v>194</v>
      </c>
      <c r="C100" s="30" t="s">
        <v>195</v>
      </c>
      <c r="D100" s="31">
        <f>Tabla13461321293947556371798795103111119127135143151135159167175183191159167175199207215223231239247255263271279287295303311319327335341349357365373381132129[[#This Row],[STOCK]]</f>
        <v>632</v>
      </c>
      <c r="E100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684</v>
      </c>
      <c r="F100" s="30"/>
      <c r="G100" s="31">
        <v>3</v>
      </c>
      <c r="H100" s="42"/>
      <c r="I100" s="43">
        <v>11</v>
      </c>
      <c r="J100" s="44">
        <v>66</v>
      </c>
      <c r="K100" s="42"/>
      <c r="L100" s="43"/>
      <c r="M100" s="44"/>
      <c r="N100" s="42"/>
      <c r="O100" s="43"/>
      <c r="P100" s="44"/>
      <c r="Q100" s="42"/>
      <c r="R100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14</v>
      </c>
    </row>
    <row r="101" spans="2:18" x14ac:dyDescent="0.2">
      <c r="B101" s="22" t="s">
        <v>196</v>
      </c>
      <c r="C101" s="23" t="s">
        <v>197</v>
      </c>
      <c r="D101" s="24">
        <f>Tabla13461321293947556371798795103111119127135143151135159167175183191159167175199207215223231239247255263271279287295303311319327335341349357365373381132129[[#This Row],[STOCK]]</f>
        <v>330</v>
      </c>
      <c r="E101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507</v>
      </c>
      <c r="F101" s="23"/>
      <c r="G101" s="24">
        <v>3</v>
      </c>
      <c r="H101" s="39">
        <v>132</v>
      </c>
      <c r="I101" s="40">
        <v>12</v>
      </c>
      <c r="J101" s="41">
        <v>60</v>
      </c>
      <c r="K101" s="39"/>
      <c r="L101" s="40"/>
      <c r="M101" s="41"/>
      <c r="N101" s="39"/>
      <c r="O101" s="40"/>
      <c r="P101" s="41"/>
      <c r="Q101" s="39"/>
      <c r="R101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15</v>
      </c>
    </row>
    <row r="102" spans="2:18" x14ac:dyDescent="0.2">
      <c r="B102" s="29" t="s">
        <v>198</v>
      </c>
      <c r="C102" s="30" t="s">
        <v>199</v>
      </c>
      <c r="D102" s="31">
        <f>Tabla13461321293947556371798795103111119127135143151135159167175183191159167175199207215223231239247255263271279287295303311319327335341349357365373381132129[[#This Row],[STOCK]]</f>
        <v>628</v>
      </c>
      <c r="E102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626</v>
      </c>
      <c r="F102" s="30"/>
      <c r="G102" s="31">
        <v>2</v>
      </c>
      <c r="H102" s="42"/>
      <c r="I102" s="43"/>
      <c r="J102" s="44"/>
      <c r="K102" s="42"/>
      <c r="L102" s="43"/>
      <c r="M102" s="44"/>
      <c r="N102" s="42"/>
      <c r="O102" s="43"/>
      <c r="P102" s="44"/>
      <c r="Q102" s="42"/>
      <c r="R102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03" spans="2:18" x14ac:dyDescent="0.2">
      <c r="B103" s="22" t="s">
        <v>200</v>
      </c>
      <c r="C103" s="23" t="s">
        <v>201</v>
      </c>
      <c r="D103" s="24">
        <f>Tabla13461321293947556371798795103111119127135143151135159167175183191159167175199207215223231239247255263271279287295303311319327335341349357365373381132129[[#This Row],[STOCK]]</f>
        <v>60</v>
      </c>
      <c r="E103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50</v>
      </c>
      <c r="F103" s="23"/>
      <c r="G103" s="24"/>
      <c r="H103" s="39"/>
      <c r="I103" s="40">
        <v>10</v>
      </c>
      <c r="J103" s="41"/>
      <c r="K103" s="39"/>
      <c r="L103" s="40"/>
      <c r="M103" s="41"/>
      <c r="N103" s="39"/>
      <c r="O103" s="40"/>
      <c r="P103" s="41"/>
      <c r="Q103" s="39"/>
      <c r="R103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10</v>
      </c>
    </row>
    <row r="104" spans="2:18" x14ac:dyDescent="0.2">
      <c r="B104" s="29" t="s">
        <v>202</v>
      </c>
      <c r="C104" s="30" t="s">
        <v>203</v>
      </c>
      <c r="D104" s="31">
        <f>Tabla13461321293947556371798795103111119127135143151135159167175183191159167175199207215223231239247255263271279287295303311319327335341349357365373381132129[[#This Row],[STOCK]]</f>
        <v>42</v>
      </c>
      <c r="E104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27</v>
      </c>
      <c r="F104" s="30"/>
      <c r="G104" s="31">
        <v>5</v>
      </c>
      <c r="H104" s="42"/>
      <c r="I104" s="43">
        <v>10</v>
      </c>
      <c r="J104" s="44"/>
      <c r="K104" s="42"/>
      <c r="L104" s="43"/>
      <c r="M104" s="44"/>
      <c r="N104" s="42"/>
      <c r="O104" s="43"/>
      <c r="P104" s="44"/>
      <c r="Q104" s="42"/>
      <c r="R104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15</v>
      </c>
    </row>
    <row r="105" spans="2:18" x14ac:dyDescent="0.2">
      <c r="B105" s="22" t="s">
        <v>204</v>
      </c>
      <c r="C105" s="23" t="s">
        <v>205</v>
      </c>
      <c r="D105" s="24">
        <f>Tabla13461321293947556371798795103111119127135143151135159167175183191159167175199207215223231239247255263271279287295303311319327335341349357365373381132129[[#This Row],[STOCK]]</f>
        <v>269</v>
      </c>
      <c r="E105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267</v>
      </c>
      <c r="F105" s="23"/>
      <c r="G105" s="24">
        <v>2</v>
      </c>
      <c r="H105" s="39"/>
      <c r="I105" s="40"/>
      <c r="J105" s="41"/>
      <c r="K105" s="39"/>
      <c r="L105" s="40"/>
      <c r="M105" s="41"/>
      <c r="N105" s="39"/>
      <c r="O105" s="40"/>
      <c r="P105" s="41"/>
      <c r="Q105" s="39"/>
      <c r="R105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06" spans="2:18" x14ac:dyDescent="0.2">
      <c r="B106" s="29" t="s">
        <v>206</v>
      </c>
      <c r="C106" s="30" t="s">
        <v>207</v>
      </c>
      <c r="D106" s="31">
        <f>Tabla13461321293947556371798795103111119127135143151135159167175183191159167175199207215223231239247255263271279287295303311319327335341349357365373381132129[[#This Row],[STOCK]]</f>
        <v>481</v>
      </c>
      <c r="E106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479</v>
      </c>
      <c r="F106" s="30"/>
      <c r="G106" s="31">
        <v>2</v>
      </c>
      <c r="H106" s="42"/>
      <c r="I106" s="43"/>
      <c r="J106" s="44"/>
      <c r="K106" s="42"/>
      <c r="L106" s="43"/>
      <c r="M106" s="44"/>
      <c r="N106" s="42"/>
      <c r="O106" s="43"/>
      <c r="P106" s="44"/>
      <c r="Q106" s="42"/>
      <c r="R106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07" spans="2:18" x14ac:dyDescent="0.2">
      <c r="B107" s="22" t="s">
        <v>208</v>
      </c>
      <c r="C107" s="23" t="s">
        <v>209</v>
      </c>
      <c r="D107" s="24">
        <f>Tabla13461321293947556371798795103111119127135143151135159167175183191159167175199207215223231239247255263271279287295303311319327335341349357365373381132129[[#This Row],[STOCK]]</f>
        <v>459</v>
      </c>
      <c r="E107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458</v>
      </c>
      <c r="F107" s="23"/>
      <c r="G107" s="24"/>
      <c r="H107" s="39"/>
      <c r="I107" s="40">
        <v>1</v>
      </c>
      <c r="J107" s="41"/>
      <c r="K107" s="39"/>
      <c r="L107" s="40"/>
      <c r="M107" s="41"/>
      <c r="N107" s="39"/>
      <c r="O107" s="40"/>
      <c r="P107" s="41"/>
      <c r="Q107" s="39"/>
      <c r="R107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</v>
      </c>
    </row>
    <row r="108" spans="2:18" x14ac:dyDescent="0.2">
      <c r="B108" s="29" t="s">
        <v>210</v>
      </c>
      <c r="C108" s="30" t="s">
        <v>211</v>
      </c>
      <c r="D108" s="31">
        <f>Tabla13461321293947556371798795103111119127135143151135159167175183191159167175199207215223231239247255263271279287295303311319327335341349357365373381132129[[#This Row],[STOCK]]</f>
        <v>480</v>
      </c>
      <c r="E108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479</v>
      </c>
      <c r="F108" s="30"/>
      <c r="G108" s="31"/>
      <c r="H108" s="42"/>
      <c r="I108" s="43">
        <v>1</v>
      </c>
      <c r="J108" s="44"/>
      <c r="K108" s="42"/>
      <c r="L108" s="43"/>
      <c r="M108" s="44"/>
      <c r="N108" s="42"/>
      <c r="O108" s="43"/>
      <c r="P108" s="44"/>
      <c r="Q108" s="42"/>
      <c r="R108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</v>
      </c>
    </row>
    <row r="109" spans="2:18" ht="12.75" customHeight="1" x14ac:dyDescent="0.2">
      <c r="B109" s="22" t="s">
        <v>212</v>
      </c>
      <c r="C109" s="23" t="s">
        <v>213</v>
      </c>
      <c r="D109" s="24">
        <f>Tabla13461321293947556371798795103111119127135143151135159167175183191159167175199207215223231239247255263271279287295303311319327335341349357365373381132129[[#This Row],[STOCK]]</f>
        <v>550</v>
      </c>
      <c r="E109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548</v>
      </c>
      <c r="F109" s="23"/>
      <c r="G109" s="24"/>
      <c r="H109" s="39"/>
      <c r="I109" s="40">
        <v>2</v>
      </c>
      <c r="J109" s="41"/>
      <c r="K109" s="39"/>
      <c r="L109" s="40"/>
      <c r="M109" s="41"/>
      <c r="N109" s="39"/>
      <c r="O109" s="40"/>
      <c r="P109" s="41"/>
      <c r="Q109" s="39"/>
      <c r="R109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10" spans="2:18" x14ac:dyDescent="0.2">
      <c r="B110" s="29" t="s">
        <v>214</v>
      </c>
      <c r="C110" s="30" t="s">
        <v>215</v>
      </c>
      <c r="D110" s="31">
        <f>Tabla13461321293947556371798795103111119127135143151135159167175183191159167175199207215223231239247255263271279287295303311319327335341349357365373381132129[[#This Row],[STOCK]]</f>
        <v>184</v>
      </c>
      <c r="E110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183</v>
      </c>
      <c r="F110" s="30"/>
      <c r="G110" s="31"/>
      <c r="H110" s="42"/>
      <c r="I110" s="43">
        <v>1</v>
      </c>
      <c r="J110" s="44"/>
      <c r="K110" s="42"/>
      <c r="L110" s="43"/>
      <c r="M110" s="44"/>
      <c r="N110" s="42"/>
      <c r="O110" s="43"/>
      <c r="P110" s="44"/>
      <c r="Q110" s="42"/>
      <c r="R110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</v>
      </c>
    </row>
    <row r="111" spans="2:18" x14ac:dyDescent="0.2">
      <c r="B111" s="22" t="s">
        <v>216</v>
      </c>
      <c r="C111" s="23" t="s">
        <v>217</v>
      </c>
      <c r="D111" s="24">
        <f>Tabla13461321293947556371798795103111119127135143151135159167175183191159167175199207215223231239247255263271279287295303311319327335341349357365373381132129[[#This Row],[STOCK]]</f>
        <v>83</v>
      </c>
      <c r="E111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74</v>
      </c>
      <c r="F111" s="23"/>
      <c r="G111" s="24">
        <v>5</v>
      </c>
      <c r="H111" s="39"/>
      <c r="I111" s="40">
        <v>4</v>
      </c>
      <c r="J111" s="41"/>
      <c r="K111" s="39"/>
      <c r="L111" s="40"/>
      <c r="M111" s="41"/>
      <c r="N111" s="39"/>
      <c r="O111" s="40"/>
      <c r="P111" s="41"/>
      <c r="Q111" s="39"/>
      <c r="R111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9</v>
      </c>
    </row>
    <row r="112" spans="2:18" x14ac:dyDescent="0.2">
      <c r="B112" s="29" t="s">
        <v>218</v>
      </c>
      <c r="C112" s="30" t="s">
        <v>219</v>
      </c>
      <c r="D112" s="31">
        <f>Tabla13461321293947556371798795103111119127135143151135159167175183191159167175199207215223231239247255263271279287295303311319327335341349357365373381132129[[#This Row],[STOCK]]</f>
        <v>489</v>
      </c>
      <c r="E112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487</v>
      </c>
      <c r="F112" s="30"/>
      <c r="G112" s="31">
        <v>2</v>
      </c>
      <c r="H112" s="42"/>
      <c r="I112" s="43"/>
      <c r="J112" s="44"/>
      <c r="K112" s="42"/>
      <c r="L112" s="43"/>
      <c r="M112" s="44"/>
      <c r="N112" s="42"/>
      <c r="O112" s="43"/>
      <c r="P112" s="44"/>
      <c r="Q112" s="42"/>
      <c r="R112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13" spans="2:18" x14ac:dyDescent="0.2">
      <c r="B113" s="22" t="s">
        <v>220</v>
      </c>
      <c r="C113" s="23" t="s">
        <v>221</v>
      </c>
      <c r="D113" s="24">
        <f>Tabla13461321293947556371798795103111119127135143151135159167175183191159167175199207215223231239247255263271279287295303311319327335341349357365373381132129[[#This Row],[STOCK]]</f>
        <v>529</v>
      </c>
      <c r="E113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517</v>
      </c>
      <c r="F113" s="23"/>
      <c r="G113" s="24">
        <v>10</v>
      </c>
      <c r="H113" s="39">
        <v>2</v>
      </c>
      <c r="I113" s="40">
        <v>4</v>
      </c>
      <c r="J113" s="41"/>
      <c r="K113" s="39"/>
      <c r="L113" s="40"/>
      <c r="M113" s="41"/>
      <c r="N113" s="39"/>
      <c r="O113" s="40"/>
      <c r="P113" s="41"/>
      <c r="Q113" s="39"/>
      <c r="R113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14</v>
      </c>
    </row>
    <row r="114" spans="2:18" x14ac:dyDescent="0.2">
      <c r="B114" s="29" t="s">
        <v>222</v>
      </c>
      <c r="C114" s="30" t="s">
        <v>223</v>
      </c>
      <c r="D114" s="31">
        <f>Tabla13461321293947556371798795103111119127135143151135159167175183191159167175199207215223231239247255263271279287295303311319327335341349357365373381132129[[#This Row],[STOCK]]</f>
        <v>255</v>
      </c>
      <c r="E114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253</v>
      </c>
      <c r="F114" s="30"/>
      <c r="G114" s="31"/>
      <c r="H114" s="42"/>
      <c r="I114" s="43">
        <v>2</v>
      </c>
      <c r="J114" s="44"/>
      <c r="K114" s="42"/>
      <c r="L114" s="43"/>
      <c r="M114" s="44"/>
      <c r="N114" s="42"/>
      <c r="O114" s="43"/>
      <c r="P114" s="44"/>
      <c r="Q114" s="42"/>
      <c r="R114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15" spans="2:18" x14ac:dyDescent="0.2">
      <c r="B115" s="22" t="s">
        <v>224</v>
      </c>
      <c r="C115" s="23" t="s">
        <v>225</v>
      </c>
      <c r="D115" s="24">
        <f>Tabla13461321293947556371798795103111119127135143151135159167175183191159167175199207215223231239247255263271279287295303311319327335341349357365373381132129[[#This Row],[STOCK]]</f>
        <v>445</v>
      </c>
      <c r="E115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443</v>
      </c>
      <c r="F115" s="23"/>
      <c r="G115" s="24"/>
      <c r="H115" s="39"/>
      <c r="I115" s="40">
        <v>2</v>
      </c>
      <c r="J115" s="41"/>
      <c r="K115" s="39"/>
      <c r="L115" s="40"/>
      <c r="M115" s="41"/>
      <c r="N115" s="39"/>
      <c r="O115" s="40"/>
      <c r="P115" s="41"/>
      <c r="Q115" s="39"/>
      <c r="R115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16" spans="2:18" x14ac:dyDescent="0.2">
      <c r="B116" s="29" t="s">
        <v>226</v>
      </c>
      <c r="C116" s="30" t="s">
        <v>227</v>
      </c>
      <c r="D116" s="31">
        <f>Tabla13461321293947556371798795103111119127135143151135159167175183191159167175199207215223231239247255263271279287295303311319327335341349357365373381132129[[#This Row],[STOCK]]</f>
        <v>176</v>
      </c>
      <c r="E116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175</v>
      </c>
      <c r="F116" s="30"/>
      <c r="G116" s="31"/>
      <c r="H116" s="42"/>
      <c r="I116" s="43">
        <v>1</v>
      </c>
      <c r="J116" s="44"/>
      <c r="K116" s="42"/>
      <c r="L116" s="43"/>
      <c r="M116" s="44"/>
      <c r="N116" s="42"/>
      <c r="O116" s="43"/>
      <c r="P116" s="44"/>
      <c r="Q116" s="42"/>
      <c r="R116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</v>
      </c>
    </row>
    <row r="117" spans="2:18" x14ac:dyDescent="0.2">
      <c r="B117" s="22" t="s">
        <v>228</v>
      </c>
      <c r="C117" s="23" t="s">
        <v>229</v>
      </c>
      <c r="D117" s="24">
        <f>Tabla13461321293947556371798795103111119127135143151135159167175183191159167175199207215223231239247255263271279287295303311319327335341349357365373381132129[[#This Row],[STOCK]]</f>
        <v>427</v>
      </c>
      <c r="E117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425</v>
      </c>
      <c r="F117" s="23"/>
      <c r="G117" s="24">
        <v>2</v>
      </c>
      <c r="H117" s="39"/>
      <c r="I117" s="40"/>
      <c r="J117" s="41"/>
      <c r="K117" s="39"/>
      <c r="L117" s="40"/>
      <c r="M117" s="41"/>
      <c r="N117" s="39"/>
      <c r="O117" s="40"/>
      <c r="P117" s="41"/>
      <c r="Q117" s="39"/>
      <c r="R117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18" spans="2:18" x14ac:dyDescent="0.2">
      <c r="B118" s="29" t="s">
        <v>230</v>
      </c>
      <c r="C118" s="30" t="s">
        <v>231</v>
      </c>
      <c r="D118" s="31">
        <f>Tabla13461321293947556371798795103111119127135143151135159167175183191159167175199207215223231239247255263271279287295303311319327335341349357365373381132129[[#This Row],[STOCK]]</f>
        <v>293</v>
      </c>
      <c r="E118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293</v>
      </c>
      <c r="F118" s="30"/>
      <c r="G118" s="31"/>
      <c r="H118" s="42"/>
      <c r="I118" s="43"/>
      <c r="J118" s="44"/>
      <c r="K118" s="42"/>
      <c r="L118" s="43"/>
      <c r="M118" s="44"/>
      <c r="N118" s="42"/>
      <c r="O118" s="43"/>
      <c r="P118" s="44"/>
      <c r="Q118" s="42"/>
      <c r="R118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0</v>
      </c>
    </row>
    <row r="119" spans="2:18" ht="12" customHeight="1" x14ac:dyDescent="0.2">
      <c r="B119" s="22" t="s">
        <v>232</v>
      </c>
      <c r="C119" s="23" t="s">
        <v>233</v>
      </c>
      <c r="D119" s="24">
        <f>Tabla13461321293947556371798795103111119127135143151135159167175183191159167175199207215223231239247255263271279287295303311319327335341349357365373381132129[[#This Row],[STOCK]]</f>
        <v>259</v>
      </c>
      <c r="E119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259</v>
      </c>
      <c r="F119" s="23"/>
      <c r="G119" s="24"/>
      <c r="H119" s="39"/>
      <c r="I119" s="40"/>
      <c r="J119" s="41"/>
      <c r="K119" s="39"/>
      <c r="L119" s="40"/>
      <c r="M119" s="41"/>
      <c r="N119" s="39"/>
      <c r="O119" s="40"/>
      <c r="P119" s="41"/>
      <c r="Q119" s="39"/>
      <c r="R119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0</v>
      </c>
    </row>
    <row r="120" spans="2:18" ht="13.5" customHeight="1" x14ac:dyDescent="0.2">
      <c r="B120" s="29" t="s">
        <v>234</v>
      </c>
      <c r="C120" s="30" t="s">
        <v>235</v>
      </c>
      <c r="D120" s="31">
        <f>Tabla13461321293947556371798795103111119127135143151135159167175183191159167175199207215223231239247255263271279287295303311319327335341349357365373381132129[[#This Row],[STOCK]]</f>
        <v>643</v>
      </c>
      <c r="E120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633</v>
      </c>
      <c r="F120" s="30"/>
      <c r="G120" s="31">
        <v>3</v>
      </c>
      <c r="H120" s="42"/>
      <c r="I120" s="43">
        <v>7</v>
      </c>
      <c r="J120" s="44"/>
      <c r="K120" s="42"/>
      <c r="L120" s="43"/>
      <c r="M120" s="44"/>
      <c r="N120" s="42"/>
      <c r="O120" s="43"/>
      <c r="P120" s="44"/>
      <c r="Q120" s="42"/>
      <c r="R120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10</v>
      </c>
    </row>
    <row r="121" spans="2:18" x14ac:dyDescent="0.2">
      <c r="B121" s="22" t="s">
        <v>236</v>
      </c>
      <c r="C121" s="23" t="s">
        <v>237</v>
      </c>
      <c r="D121" s="24">
        <f>Tabla13461321293947556371798795103111119127135143151135159167175183191159167175199207215223231239247255263271279287295303311319327335341349357365373381132129[[#This Row],[STOCK]]</f>
        <v>838</v>
      </c>
      <c r="E121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832</v>
      </c>
      <c r="F121" s="23"/>
      <c r="G121" s="24"/>
      <c r="H121" s="39"/>
      <c r="I121" s="40">
        <v>6</v>
      </c>
      <c r="J121" s="41"/>
      <c r="K121" s="39"/>
      <c r="L121" s="40"/>
      <c r="M121" s="41"/>
      <c r="N121" s="39"/>
      <c r="O121" s="40"/>
      <c r="P121" s="41"/>
      <c r="Q121" s="39"/>
      <c r="R121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6</v>
      </c>
    </row>
    <row r="122" spans="2:18" x14ac:dyDescent="0.2">
      <c r="B122" s="29" t="s">
        <v>238</v>
      </c>
      <c r="C122" s="30" t="s">
        <v>239</v>
      </c>
      <c r="D122" s="31">
        <f>Tabla13461321293947556371798795103111119127135143151135159167175183191159167175199207215223231239247255263271279287295303311319327335341349357365373381132129[[#This Row],[STOCK]]</f>
        <v>828</v>
      </c>
      <c r="E122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815</v>
      </c>
      <c r="F122" s="30"/>
      <c r="G122" s="31">
        <v>5</v>
      </c>
      <c r="H122" s="42"/>
      <c r="I122" s="43">
        <v>8</v>
      </c>
      <c r="J122" s="44"/>
      <c r="K122" s="42"/>
      <c r="L122" s="43"/>
      <c r="M122" s="44"/>
      <c r="N122" s="42"/>
      <c r="O122" s="43"/>
      <c r="P122" s="44"/>
      <c r="Q122" s="42"/>
      <c r="R122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13</v>
      </c>
    </row>
    <row r="123" spans="2:18" x14ac:dyDescent="0.2">
      <c r="B123" s="22" t="s">
        <v>240</v>
      </c>
      <c r="C123" s="23" t="s">
        <v>241</v>
      </c>
      <c r="D123" s="24">
        <f>Tabla13461321293947556371798795103111119127135143151135159167175183191159167175199207215223231239247255263271279287295303311319327335341349357365373381132129[[#This Row],[STOCK]]</f>
        <v>383</v>
      </c>
      <c r="E123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381</v>
      </c>
      <c r="F123" s="23"/>
      <c r="G123" s="24"/>
      <c r="H123" s="39"/>
      <c r="I123" s="40">
        <v>2</v>
      </c>
      <c r="J123" s="41"/>
      <c r="K123" s="39"/>
      <c r="L123" s="40"/>
      <c r="M123" s="41"/>
      <c r="N123" s="39"/>
      <c r="O123" s="40"/>
      <c r="P123" s="41"/>
      <c r="Q123" s="39"/>
      <c r="R123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24" spans="2:18" x14ac:dyDescent="0.2">
      <c r="B124" s="29" t="s">
        <v>242</v>
      </c>
      <c r="C124" s="30" t="s">
        <v>243</v>
      </c>
      <c r="D124" s="31">
        <f>Tabla13461321293947556371798795103111119127135143151135159167175183191159167175199207215223231239247255263271279287295303311319327335341349357365373381132129[[#This Row],[STOCK]]</f>
        <v>355</v>
      </c>
      <c r="E124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354</v>
      </c>
      <c r="F124" s="30"/>
      <c r="G124" s="31"/>
      <c r="H124" s="42"/>
      <c r="I124" s="43">
        <v>1</v>
      </c>
      <c r="J124" s="44"/>
      <c r="K124" s="42"/>
      <c r="L124" s="43"/>
      <c r="M124" s="44"/>
      <c r="N124" s="42"/>
      <c r="O124" s="43"/>
      <c r="P124" s="44"/>
      <c r="Q124" s="42"/>
      <c r="R124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</v>
      </c>
    </row>
    <row r="125" spans="2:18" x14ac:dyDescent="0.2">
      <c r="B125" s="22" t="s">
        <v>244</v>
      </c>
      <c r="C125" s="23" t="s">
        <v>245</v>
      </c>
      <c r="D125" s="24">
        <f>Tabla13461321293947556371798795103111119127135143151135159167175183191159167175199207215223231239247255263271279287295303311319327335341349357365373381132129[[#This Row],[STOCK]]</f>
        <v>539</v>
      </c>
      <c r="E125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537</v>
      </c>
      <c r="F125" s="23"/>
      <c r="G125" s="24">
        <v>2</v>
      </c>
      <c r="H125" s="39"/>
      <c r="I125" s="40"/>
      <c r="J125" s="41"/>
      <c r="K125" s="39"/>
      <c r="L125" s="40"/>
      <c r="M125" s="41"/>
      <c r="N125" s="39"/>
      <c r="O125" s="40"/>
      <c r="P125" s="41"/>
      <c r="Q125" s="39"/>
      <c r="R125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26" spans="2:18" x14ac:dyDescent="0.2">
      <c r="B126" s="29" t="s">
        <v>246</v>
      </c>
      <c r="C126" s="30" t="s">
        <v>247</v>
      </c>
      <c r="D126" s="31">
        <f>Tabla13461321293947556371798795103111119127135143151135159167175183191159167175199207215223231239247255263271279287295303311319327335341349357365373381132129[[#This Row],[STOCK]]</f>
        <v>426</v>
      </c>
      <c r="E126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423</v>
      </c>
      <c r="F126" s="30"/>
      <c r="G126" s="31">
        <v>3</v>
      </c>
      <c r="H126" s="42"/>
      <c r="I126" s="43"/>
      <c r="J126" s="44"/>
      <c r="K126" s="42"/>
      <c r="L126" s="43"/>
      <c r="M126" s="44"/>
      <c r="N126" s="42"/>
      <c r="O126" s="43"/>
      <c r="P126" s="44"/>
      <c r="Q126" s="42"/>
      <c r="R126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3</v>
      </c>
    </row>
    <row r="127" spans="2:18" x14ac:dyDescent="0.2">
      <c r="B127" s="22" t="s">
        <v>248</v>
      </c>
      <c r="C127" s="23" t="s">
        <v>249</v>
      </c>
      <c r="D127" s="24">
        <f>Tabla13461321293947556371798795103111119127135143151135159167175183191159167175199207215223231239247255263271279287295303311319327335341349357365373381132129[[#This Row],[STOCK]]</f>
        <v>364</v>
      </c>
      <c r="E127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363</v>
      </c>
      <c r="F127" s="23"/>
      <c r="G127" s="24">
        <v>1</v>
      </c>
      <c r="H127" s="39"/>
      <c r="I127" s="40"/>
      <c r="J127" s="41"/>
      <c r="K127" s="39"/>
      <c r="L127" s="40"/>
      <c r="M127" s="41"/>
      <c r="N127" s="39"/>
      <c r="O127" s="40"/>
      <c r="P127" s="41"/>
      <c r="Q127" s="39"/>
      <c r="R127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</v>
      </c>
    </row>
    <row r="128" spans="2:18" x14ac:dyDescent="0.2">
      <c r="B128" s="29" t="s">
        <v>250</v>
      </c>
      <c r="C128" s="30" t="s">
        <v>251</v>
      </c>
      <c r="D128" s="31">
        <f>Tabla13461321293947556371798795103111119127135143151135159167175183191159167175199207215223231239247255263271279287295303311319327335341349357365373381132129[[#This Row],[STOCK]]</f>
        <v>504</v>
      </c>
      <c r="E128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503</v>
      </c>
      <c r="F128" s="30"/>
      <c r="G128" s="31">
        <v>1</v>
      </c>
      <c r="H128" s="42"/>
      <c r="I128" s="43"/>
      <c r="J128" s="44"/>
      <c r="K128" s="42"/>
      <c r="L128" s="43"/>
      <c r="M128" s="44"/>
      <c r="N128" s="42"/>
      <c r="O128" s="43"/>
      <c r="P128" s="44"/>
      <c r="Q128" s="42"/>
      <c r="R128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</v>
      </c>
    </row>
    <row r="129" spans="2:18" x14ac:dyDescent="0.2">
      <c r="B129" s="22" t="s">
        <v>252</v>
      </c>
      <c r="C129" s="23" t="s">
        <v>253</v>
      </c>
      <c r="D129" s="24">
        <f>Tabla13461321293947556371798795103111119127135143151135159167175183191159167175199207215223231239247255263271279287295303311319327335341349357365373381132129[[#This Row],[STOCK]]</f>
        <v>586</v>
      </c>
      <c r="E129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579</v>
      </c>
      <c r="F129" s="23"/>
      <c r="G129" s="24"/>
      <c r="H129" s="39"/>
      <c r="I129" s="40">
        <v>7</v>
      </c>
      <c r="J129" s="41"/>
      <c r="K129" s="39"/>
      <c r="L129" s="40"/>
      <c r="M129" s="41"/>
      <c r="N129" s="39"/>
      <c r="O129" s="40"/>
      <c r="P129" s="41"/>
      <c r="Q129" s="39"/>
      <c r="R129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7</v>
      </c>
    </row>
    <row r="130" spans="2:18" x14ac:dyDescent="0.2">
      <c r="B130" s="29" t="s">
        <v>254</v>
      </c>
      <c r="C130" s="30" t="s">
        <v>255</v>
      </c>
      <c r="D130" s="31">
        <f>Tabla13461321293947556371798795103111119127135143151135159167175183191159167175199207215223231239247255263271279287295303311319327335341349357365373381132129[[#This Row],[STOCK]]</f>
        <v>266</v>
      </c>
      <c r="E130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260</v>
      </c>
      <c r="F130" s="30"/>
      <c r="G130" s="31"/>
      <c r="H130" s="42"/>
      <c r="I130" s="43">
        <v>6</v>
      </c>
      <c r="J130" s="44"/>
      <c r="K130" s="42"/>
      <c r="L130" s="43"/>
      <c r="M130" s="44"/>
      <c r="N130" s="42"/>
      <c r="O130" s="43"/>
      <c r="P130" s="44"/>
      <c r="Q130" s="42"/>
      <c r="R130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6</v>
      </c>
    </row>
    <row r="131" spans="2:18" x14ac:dyDescent="0.2">
      <c r="B131" s="22" t="s">
        <v>256</v>
      </c>
      <c r="C131" s="23" t="s">
        <v>257</v>
      </c>
      <c r="D131" s="24">
        <f>Tabla13461321293947556371798795103111119127135143151135159167175183191159167175199207215223231239247255263271279287295303311319327335341349357365373381132129[[#This Row],[STOCK]]</f>
        <v>471</v>
      </c>
      <c r="E131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467</v>
      </c>
      <c r="F131" s="23"/>
      <c r="G131" s="24"/>
      <c r="H131" s="39"/>
      <c r="I131" s="40">
        <v>4</v>
      </c>
      <c r="J131" s="41"/>
      <c r="K131" s="39"/>
      <c r="L131" s="40"/>
      <c r="M131" s="41"/>
      <c r="N131" s="39"/>
      <c r="O131" s="40"/>
      <c r="P131" s="41"/>
      <c r="Q131" s="39"/>
      <c r="R131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4</v>
      </c>
    </row>
    <row r="132" spans="2:18" x14ac:dyDescent="0.2">
      <c r="B132" s="29" t="s">
        <v>258</v>
      </c>
      <c r="C132" s="30" t="s">
        <v>259</v>
      </c>
      <c r="D132" s="31">
        <f>Tabla13461321293947556371798795103111119127135143151135159167175183191159167175199207215223231239247255263271279287295303311319327335341349357365373381132129[[#This Row],[STOCK]]</f>
        <v>236</v>
      </c>
      <c r="E132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235</v>
      </c>
      <c r="F132" s="30"/>
      <c r="G132" s="31"/>
      <c r="H132" s="42"/>
      <c r="I132" s="43">
        <v>2</v>
      </c>
      <c r="J132" s="44">
        <v>1</v>
      </c>
      <c r="K132" s="42"/>
      <c r="L132" s="43"/>
      <c r="M132" s="44"/>
      <c r="N132" s="42"/>
      <c r="O132" s="43"/>
      <c r="P132" s="44"/>
      <c r="Q132" s="42"/>
      <c r="R132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2</v>
      </c>
    </row>
    <row r="133" spans="2:18" x14ac:dyDescent="0.2">
      <c r="B133" s="22" t="s">
        <v>260</v>
      </c>
      <c r="C133" s="23" t="s">
        <v>261</v>
      </c>
      <c r="D133" s="24">
        <f>Tabla13461321293947556371798795103111119127135143151135159167175183191159167175199207215223231239247255263271279287295303311319327335341349357365373381132129[[#This Row],[STOCK]]</f>
        <v>147</v>
      </c>
      <c r="E133" s="25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146</v>
      </c>
      <c r="F133" s="23"/>
      <c r="G133" s="24">
        <v>1</v>
      </c>
      <c r="H133" s="39"/>
      <c r="I133" s="40"/>
      <c r="J133" s="41"/>
      <c r="K133" s="39"/>
      <c r="L133" s="40"/>
      <c r="M133" s="41"/>
      <c r="N133" s="39"/>
      <c r="O133" s="40"/>
      <c r="P133" s="41"/>
      <c r="Q133" s="39"/>
      <c r="R133" s="23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</v>
      </c>
    </row>
    <row r="134" spans="2:18" x14ac:dyDescent="0.2">
      <c r="B134" s="29" t="s">
        <v>262</v>
      </c>
      <c r="C134" s="30" t="s">
        <v>263</v>
      </c>
      <c r="D134" s="31">
        <f>Tabla13461321293947556371798795103111119127135143151135159167175183191159167175199207215223231239247255263271279287295303311319327335341349357365373381132129[[#This Row],[STOCK]]</f>
        <v>557</v>
      </c>
      <c r="E134" s="32">
        <f>Tabla1346132129394755637179879510311111912713514315113515916717518319115916717519920721522323123924725526327127928729530331131932733534134935736537338113212937[[#This Row],[INVENTARIO INICIAL]]+Tabla1346132129394755637179879510311111912713514315113515916717518319115916717519920721522323123924725526327127928729530331131932733534134935736537338113212937[[#This Row],[INGRESO LUNES]]-Tabla1346132129394755637179879510311111912713514315113515916717518319115916717519920721522323123924725526327127928729530331131932733534134935736537338113212937[[#This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Row],[INGRESO MARTES]]-Tabla1346132129394755637179879510311111912713514315113515916717518319115916717519920721522323123924725526327127928729530331131932733534134935736537338113212937[[#This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Row],[INGRESO MIERCOLES]]-Tabla1346132129394755637179879510311111912713514315113515916717518319115916717519920721522323123924725526327127928729530331131932733534134935736537338113212937[[#This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Row],[INGRESO JUEVES]]-Tabla1346132129394755637179879510311111912713514315113515916717518319115916717519920721522323123924725526327127928729530331131932733534134935736537338113212937[[#This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Row],[INGRESO VIERNES]]-Tabla1346132129394755637179879510311111912713514315113515916717518319115916717519920721522323123924725526327127928729530331131932733534134935736537338113212937[[#This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 INGRESO SABADO]]-Tabla1346132129394755637179879510311111912713514315113515916717518319115916717519920721522323123924725526327127928729530331131932733534134935736537338113212937[[#This Row],[VENTA SABADO]]</f>
        <v>556</v>
      </c>
      <c r="F134" s="30"/>
      <c r="G134" s="31">
        <v>1</v>
      </c>
      <c r="H134" s="42"/>
      <c r="I134" s="43"/>
      <c r="J134" s="44"/>
      <c r="K134" s="42"/>
      <c r="L134" s="43"/>
      <c r="M134" s="44"/>
      <c r="N134" s="42"/>
      <c r="O134" s="43"/>
      <c r="P134" s="44"/>
      <c r="Q134" s="42"/>
      <c r="R134" s="30">
        <f>Tabla1346132129394755637179879510311111912713514315113515916717518319115916717519920721522323123924725526327127928729530331131932733534134935736537338113212937[[#This Row],[VENTA LUNES]]+Tabla1346132129394755637179879510311111912713514315113515916717518319115916717519920721522323123924725526327127928729530331131932733534134935736537338113212937[[#This Row],[VENTA MARTES]]+Tabla1346132129394755637179879510311111912713514315113515916717518319115916717519920721522323123924725526327127928729530331131932733534134935736537338113212937[[#This Row],[VENTA MIERCOLES]]+Tabla1346132129394755637179879510311111912713514315113515916717518319115916717519920721522323123924725526327127928729530331131932733534134935736537338113212937[[#This Row],[VENTA JUEVES]]+Tabla1346132129394755637179879510311111912713514315113515916717518319115916717519920721522323123924725526327127928729530331131932733534134935736537338113212937[[#This Row],[VENTA VIERNES]]+Tabla1346132129394755637179879510311111912713514315113515916717518319115916717519920721522323123924725526327127928729530331131932733534134935736537338113212937[[#This Row],[VENTA SABADO]]</f>
        <v>1</v>
      </c>
    </row>
    <row r="136" spans="2:18" s="54" customFormat="1" ht="38.25" x14ac:dyDescent="0.2">
      <c r="B136" s="17" t="s">
        <v>264</v>
      </c>
      <c r="C136" s="17" t="s">
        <v>5</v>
      </c>
      <c r="D136" s="17" t="s">
        <v>6</v>
      </c>
      <c r="E136" s="37" t="s">
        <v>7</v>
      </c>
      <c r="F136" s="17" t="s">
        <v>8</v>
      </c>
      <c r="G136" s="17" t="s">
        <v>51</v>
      </c>
      <c r="H136" s="17" t="s">
        <v>10</v>
      </c>
      <c r="I136" s="17" t="s">
        <v>11</v>
      </c>
      <c r="J136" s="17" t="s">
        <v>12</v>
      </c>
      <c r="K136" s="17" t="s">
        <v>13</v>
      </c>
      <c r="L136" s="17" t="s">
        <v>14</v>
      </c>
      <c r="M136" s="17" t="s">
        <v>15</v>
      </c>
      <c r="N136" s="17" t="s">
        <v>16</v>
      </c>
      <c r="O136" s="17" t="s">
        <v>17</v>
      </c>
      <c r="P136" s="17" t="s">
        <v>18</v>
      </c>
      <c r="Q136" s="17" t="s">
        <v>19</v>
      </c>
      <c r="R136" s="17" t="s">
        <v>20</v>
      </c>
    </row>
    <row r="137" spans="2:18" x14ac:dyDescent="0.2">
      <c r="B137" s="22" t="s">
        <v>216</v>
      </c>
      <c r="C137" s="23" t="s">
        <v>265</v>
      </c>
      <c r="D137" s="24">
        <f>Tabla134671422304048566472808896104112120128136144152136160168176184192160168176200208216224232240248256264272280288296304312320328336342350358366374382142230[[#This Row],[STOCK]]</f>
        <v>532</v>
      </c>
      <c r="E137" s="25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532</v>
      </c>
      <c r="F137" s="23"/>
      <c r="G137" s="24"/>
      <c r="H137" s="39"/>
      <c r="I137" s="40"/>
      <c r="J137" s="41"/>
      <c r="K137" s="39"/>
      <c r="L137" s="40"/>
      <c r="M137" s="41"/>
      <c r="N137" s="39"/>
      <c r="O137" s="40"/>
      <c r="P137" s="41"/>
      <c r="Q137" s="39"/>
      <c r="R137" s="23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0</v>
      </c>
    </row>
    <row r="138" spans="2:18" x14ac:dyDescent="0.2">
      <c r="B138" s="29" t="s">
        <v>218</v>
      </c>
      <c r="C138" s="30" t="s">
        <v>266</v>
      </c>
      <c r="D138" s="31">
        <f>Tabla134671422304048566472808896104112120128136144152136160168176184192160168176200208216224232240248256264272280288296304312320328336342350358366374382142230[[#This Row],[STOCK]]</f>
        <v>366</v>
      </c>
      <c r="E138" s="32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366</v>
      </c>
      <c r="F138" s="30"/>
      <c r="G138" s="31"/>
      <c r="H138" s="42"/>
      <c r="I138" s="43"/>
      <c r="J138" s="44"/>
      <c r="K138" s="42"/>
      <c r="L138" s="43"/>
      <c r="M138" s="44"/>
      <c r="N138" s="42"/>
      <c r="O138" s="43"/>
      <c r="P138" s="44"/>
      <c r="Q138" s="42"/>
      <c r="R138" s="30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0</v>
      </c>
    </row>
    <row r="139" spans="2:18" x14ac:dyDescent="0.2">
      <c r="B139" s="22" t="s">
        <v>267</v>
      </c>
      <c r="C139" s="23" t="s">
        <v>268</v>
      </c>
      <c r="D139" s="24">
        <f>Tabla134671422304048566472808896104112120128136144152136160168176184192160168176200208216224232240248256264272280288296304312320328336342350358366374382142230[[#This Row],[STOCK]]</f>
        <v>119</v>
      </c>
      <c r="E139" s="25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119</v>
      </c>
      <c r="F139" s="23"/>
      <c r="G139" s="24"/>
      <c r="H139" s="39"/>
      <c r="I139" s="40"/>
      <c r="J139" s="41"/>
      <c r="K139" s="39"/>
      <c r="L139" s="40"/>
      <c r="M139" s="41"/>
      <c r="N139" s="39"/>
      <c r="O139" s="40"/>
      <c r="P139" s="41"/>
      <c r="Q139" s="39"/>
      <c r="R139" s="23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0</v>
      </c>
    </row>
    <row r="140" spans="2:18" x14ac:dyDescent="0.2">
      <c r="B140" s="29" t="s">
        <v>269</v>
      </c>
      <c r="C140" s="30" t="s">
        <v>270</v>
      </c>
      <c r="D140" s="31">
        <f>Tabla134671422304048566472808896104112120128136144152136160168176184192160168176200208216224232240248256264272280288296304312320328336342350358366374382142230[[#This Row],[STOCK]]</f>
        <v>738</v>
      </c>
      <c r="E140" s="32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738</v>
      </c>
      <c r="F140" s="30"/>
      <c r="G140" s="31"/>
      <c r="H140" s="42"/>
      <c r="I140" s="43"/>
      <c r="J140" s="44"/>
      <c r="K140" s="42"/>
      <c r="L140" s="43"/>
      <c r="M140" s="44"/>
      <c r="N140" s="42"/>
      <c r="O140" s="43"/>
      <c r="P140" s="44"/>
      <c r="Q140" s="42"/>
      <c r="R140" s="30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0</v>
      </c>
    </row>
    <row r="141" spans="2:18" x14ac:dyDescent="0.2">
      <c r="B141" s="22" t="s">
        <v>224</v>
      </c>
      <c r="C141" s="23" t="s">
        <v>271</v>
      </c>
      <c r="D141" s="24">
        <f>Tabla134671422304048566472808896104112120128136144152136160168176184192160168176200208216224232240248256264272280288296304312320328336342350358366374382142230[[#This Row],[STOCK]]</f>
        <v>296</v>
      </c>
      <c r="E141" s="25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295</v>
      </c>
      <c r="F141" s="23"/>
      <c r="G141" s="24">
        <v>1</v>
      </c>
      <c r="H141" s="39"/>
      <c r="I141" s="40"/>
      <c r="J141" s="41"/>
      <c r="K141" s="39"/>
      <c r="L141" s="40"/>
      <c r="M141" s="41"/>
      <c r="N141" s="39"/>
      <c r="O141" s="40"/>
      <c r="P141" s="41"/>
      <c r="Q141" s="39"/>
      <c r="R141" s="23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1</v>
      </c>
    </row>
    <row r="142" spans="2:18" x14ac:dyDescent="0.2">
      <c r="B142" s="29" t="s">
        <v>272</v>
      </c>
      <c r="C142" s="30" t="s">
        <v>273</v>
      </c>
      <c r="D142" s="31">
        <f>Tabla134671422304048566472808896104112120128136144152136160168176184192160168176200208216224232240248256264272280288296304312320328336342350358366374382142230[[#This Row],[STOCK]]</f>
        <v>489</v>
      </c>
      <c r="E142" s="32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488</v>
      </c>
      <c r="F142" s="30"/>
      <c r="G142" s="31">
        <v>1</v>
      </c>
      <c r="H142" s="42"/>
      <c r="I142" s="43"/>
      <c r="J142" s="44"/>
      <c r="K142" s="42"/>
      <c r="L142" s="43"/>
      <c r="M142" s="44"/>
      <c r="N142" s="42"/>
      <c r="O142" s="43"/>
      <c r="P142" s="44"/>
      <c r="Q142" s="42"/>
      <c r="R142" s="30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1</v>
      </c>
    </row>
    <row r="143" spans="2:18" x14ac:dyDescent="0.2">
      <c r="B143" s="22" t="s">
        <v>204</v>
      </c>
      <c r="C143" s="23" t="s">
        <v>274</v>
      </c>
      <c r="D143" s="24">
        <f>Tabla134671422304048566472808896104112120128136144152136160168176184192160168176200208216224232240248256264272280288296304312320328336342350358366374382142230[[#This Row],[STOCK]]</f>
        <v>304</v>
      </c>
      <c r="E143" s="25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303</v>
      </c>
      <c r="F143" s="23"/>
      <c r="G143" s="24">
        <v>1</v>
      </c>
      <c r="H143" s="39"/>
      <c r="I143" s="40"/>
      <c r="J143" s="41"/>
      <c r="K143" s="39"/>
      <c r="L143" s="40"/>
      <c r="M143" s="41"/>
      <c r="N143" s="39"/>
      <c r="O143" s="40"/>
      <c r="P143" s="41"/>
      <c r="Q143" s="39"/>
      <c r="R143" s="23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1</v>
      </c>
    </row>
    <row r="144" spans="2:18" x14ac:dyDescent="0.2">
      <c r="B144" s="29" t="s">
        <v>206</v>
      </c>
      <c r="C144" s="30" t="s">
        <v>275</v>
      </c>
      <c r="D144" s="31">
        <f>Tabla134671422304048566472808896104112120128136144152136160168176184192160168176200208216224232240248256264272280288296304312320328336342350358366374382142230[[#This Row],[STOCK]]</f>
        <v>351</v>
      </c>
      <c r="E144" s="32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351</v>
      </c>
      <c r="F144" s="30"/>
      <c r="G144" s="31"/>
      <c r="H144" s="42"/>
      <c r="I144" s="43"/>
      <c r="J144" s="44"/>
      <c r="K144" s="42"/>
      <c r="L144" s="43"/>
      <c r="M144" s="44"/>
      <c r="N144" s="42"/>
      <c r="O144" s="43"/>
      <c r="P144" s="44"/>
      <c r="Q144" s="42"/>
      <c r="R144" s="30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0</v>
      </c>
    </row>
    <row r="145" spans="1:18" x14ac:dyDescent="0.2">
      <c r="B145" s="22" t="s">
        <v>276</v>
      </c>
      <c r="C145" s="23" t="s">
        <v>277</v>
      </c>
      <c r="D145" s="24">
        <f>Tabla134671422304048566472808896104112120128136144152136160168176184192160168176200208216224232240248256264272280288296304312320328336342350358366374382142230[[#This Row],[STOCK]]</f>
        <v>507</v>
      </c>
      <c r="E145" s="25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506</v>
      </c>
      <c r="F145" s="23"/>
      <c r="G145" s="24">
        <v>1</v>
      </c>
      <c r="H145" s="39"/>
      <c r="I145" s="40"/>
      <c r="J145" s="41"/>
      <c r="K145" s="39"/>
      <c r="L145" s="40"/>
      <c r="M145" s="41"/>
      <c r="N145" s="39"/>
      <c r="O145" s="40"/>
      <c r="P145" s="41"/>
      <c r="Q145" s="39"/>
      <c r="R145" s="23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1</v>
      </c>
    </row>
    <row r="146" spans="1:18" x14ac:dyDescent="0.2">
      <c r="B146" s="29" t="s">
        <v>278</v>
      </c>
      <c r="C146" s="30" t="s">
        <v>279</v>
      </c>
      <c r="D146" s="31">
        <f>Tabla134671422304048566472808896104112120128136144152136160168176184192160168176200208216224232240248256264272280288296304312320328336342350358366374382142230[[#This Row],[STOCK]]</f>
        <v>260</v>
      </c>
      <c r="E146" s="32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258</v>
      </c>
      <c r="F146" s="30"/>
      <c r="G146" s="31">
        <v>2</v>
      </c>
      <c r="H146" s="42"/>
      <c r="I146" s="43"/>
      <c r="J146" s="44"/>
      <c r="K146" s="42"/>
      <c r="L146" s="43"/>
      <c r="M146" s="44"/>
      <c r="N146" s="42"/>
      <c r="O146" s="43"/>
      <c r="P146" s="44"/>
      <c r="Q146" s="42"/>
      <c r="R146" s="30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2</v>
      </c>
    </row>
    <row r="147" spans="1:18" x14ac:dyDescent="0.2">
      <c r="B147" s="22" t="s">
        <v>280</v>
      </c>
      <c r="C147" s="23" t="s">
        <v>281</v>
      </c>
      <c r="D147" s="24">
        <f>Tabla134671422304048566472808896104112120128136144152136160168176184192160168176200208216224232240248256264272280288296304312320328336342350358366374382142230[[#This Row],[STOCK]]</f>
        <v>109</v>
      </c>
      <c r="E147" s="25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109</v>
      </c>
      <c r="F147" s="23"/>
      <c r="G147" s="24"/>
      <c r="H147" s="39"/>
      <c r="I147" s="40"/>
      <c r="J147" s="41"/>
      <c r="K147" s="39"/>
      <c r="L147" s="40"/>
      <c r="M147" s="41"/>
      <c r="N147" s="39"/>
      <c r="O147" s="40"/>
      <c r="P147" s="41"/>
      <c r="Q147" s="39"/>
      <c r="R147" s="23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0</v>
      </c>
    </row>
    <row r="148" spans="1:18" x14ac:dyDescent="0.2">
      <c r="B148" s="29" t="s">
        <v>214</v>
      </c>
      <c r="C148" s="30" t="s">
        <v>282</v>
      </c>
      <c r="D148" s="31">
        <f>Tabla134671422304048566472808896104112120128136144152136160168176184192160168176200208216224232240248256264272280288296304312320328336342350358366374382142230[[#This Row],[STOCK]]</f>
        <v>289</v>
      </c>
      <c r="E148" s="32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288</v>
      </c>
      <c r="F148" s="30"/>
      <c r="G148" s="31">
        <v>1</v>
      </c>
      <c r="H148" s="42"/>
      <c r="I148" s="43"/>
      <c r="J148" s="44"/>
      <c r="K148" s="42"/>
      <c r="L148" s="43"/>
      <c r="M148" s="44"/>
      <c r="N148" s="42"/>
      <c r="O148" s="43"/>
      <c r="P148" s="44"/>
      <c r="Q148" s="42"/>
      <c r="R148" s="30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1</v>
      </c>
    </row>
    <row r="149" spans="1:18" x14ac:dyDescent="0.2">
      <c r="B149" s="22" t="s">
        <v>283</v>
      </c>
      <c r="C149" s="23" t="s">
        <v>284</v>
      </c>
      <c r="D149" s="24">
        <f>Tabla134671422304048566472808896104112120128136144152136160168176184192160168176200208216224232240248256264272280288296304312320328336342350358366374382142230[[#This Row],[STOCK]]</f>
        <v>316</v>
      </c>
      <c r="E149" s="25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311</v>
      </c>
      <c r="F149" s="23"/>
      <c r="G149" s="24"/>
      <c r="H149" s="39"/>
      <c r="I149" s="40">
        <v>5</v>
      </c>
      <c r="J149" s="41"/>
      <c r="K149" s="39"/>
      <c r="L149" s="40"/>
      <c r="M149" s="41"/>
      <c r="N149" s="39"/>
      <c r="O149" s="40"/>
      <c r="P149" s="41"/>
      <c r="Q149" s="39"/>
      <c r="R149" s="23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5</v>
      </c>
    </row>
    <row r="150" spans="1:18" x14ac:dyDescent="0.2">
      <c r="A150" t="s">
        <v>285</v>
      </c>
      <c r="B150" s="29" t="s">
        <v>194</v>
      </c>
      <c r="C150" s="30" t="s">
        <v>286</v>
      </c>
      <c r="D150" s="31">
        <f>Tabla134671422304048566472808896104112120128136144152136160168176184192160168176200208216224232240248256264272280288296304312320328336342350358366374382142230[[#This Row],[STOCK]]</f>
        <v>446</v>
      </c>
      <c r="E150" s="32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441</v>
      </c>
      <c r="F150" s="30"/>
      <c r="G150" s="31"/>
      <c r="H150" s="42"/>
      <c r="I150" s="43">
        <v>5</v>
      </c>
      <c r="J150" s="44"/>
      <c r="K150" s="42"/>
      <c r="L150" s="43"/>
      <c r="M150" s="44"/>
      <c r="N150" s="42"/>
      <c r="O150" s="43"/>
      <c r="P150" s="44"/>
      <c r="Q150" s="42"/>
      <c r="R150" s="30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5</v>
      </c>
    </row>
    <row r="151" spans="1:18" x14ac:dyDescent="0.2">
      <c r="B151" s="22" t="s">
        <v>287</v>
      </c>
      <c r="C151" s="23" t="s">
        <v>288</v>
      </c>
      <c r="D151" s="24">
        <f>Tabla134671422304048566472808896104112120128136144152136160168176184192160168176200208216224232240248256264272280288296304312320328336342350358366374382142230[[#This Row],[STOCK]]</f>
        <v>500</v>
      </c>
      <c r="E151" s="25">
        <f>Tabla13467142230404856647280889610411212012813614415213616016817618419216016817620020821622423224024825626427228028829630431232032833634235035836637438214223038[[#This Row],[INVENTARIO INICIAL]]+Tabla13467142230404856647280889610411212012813614415213616016817618419216016817620020821622423224024825626427228028829630431232032833634235035836637438214223038[[#This Row],[INGRESO LUNES]]-Tabla13467142230404856647280889610411212012813614415213616016817618419216016817620020821622423224024825626427228028829630431232032833634235035836637438214223038[[#This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Row],[INGRESO MARTES]]-Tabla13467142230404856647280889610411212012813614415213616016817618419216016817620020821622423224024825626427228028829630431232032833634235035836637438214223038[[#This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Row],[INGRESO MIERCOLES]]-Tabla13467142230404856647280889610411212012813614415213616016817618419216016817620020821622423224024825626427228028829630431232032833634235035836637438214223038[[#This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Row],[INGRESO JUEVES]]-Tabla13467142230404856647280889610411212012813614415213616016817618419216016817620020821622423224024825626427228028829630431232032833634235035836637438214223038[[#This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Row],[INGRESO VIERNES]]-Tabla13467142230404856647280889610411212012813614415213616016817618419216016817620020821622423224024825626427228028829630431232032833634235035836637438214223038[[#This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 INGRESO SABADO]]-Tabla13467142230404856647280889610411212012813614415213616016817618419216016817620020821622423224024825626427228028829630431232032833634235035836637438214223038[[#This Row],[VENTA SABADO]]</f>
        <v>495</v>
      </c>
      <c r="F151" s="23"/>
      <c r="G151" s="24"/>
      <c r="H151" s="39"/>
      <c r="I151" s="40">
        <v>5</v>
      </c>
      <c r="J151" s="41"/>
      <c r="K151" s="39"/>
      <c r="L151" s="40"/>
      <c r="M151" s="41"/>
      <c r="N151" s="39"/>
      <c r="O151" s="40"/>
      <c r="P151" s="41"/>
      <c r="Q151" s="39"/>
      <c r="R151" s="23">
        <f>Tabla13467142230404856647280889610411212012813614415213616016817618419216016817620020821622423224024825626427228028829630431232032833634235035836637438214223038[[#This Row],[VENTA LUNES]]+Tabla13467142230404856647280889610411212012813614415213616016817618419216016817620020821622423224024825626427228028829630431232032833634235035836637438214223038[[#This Row],[VENTA MARTES]]+Tabla13467142230404856647280889610411212012813614415213616016817618419216016817620020821622423224024825626427228028829630431232032833634235035836637438214223038[[#This Row],[VENTA MIERCOLES]]+Tabla13467142230404856647280889610411212012813614415213616016817618419216016817620020821622423224024825626427228028829630431232032833634235035836637438214223038[[#This Row],[VENTA JUEVES]]+Tabla13467142230404856647280889610411212012813614415213616016817618419216016817620020821622423224024825626427228028829630431232032833634235035836637438214223038[[#This Row],[VENTA VIERNES]]+Tabla13467142230404856647280889610411212012813614415213616016817618419216016817620020821622423224024825626427228028829630431232032833634235035836637438214223038[[#This Row],[VENTA SABADO]]</f>
        <v>5</v>
      </c>
    </row>
    <row r="153" spans="1:18" s="54" customFormat="1" ht="38.25" x14ac:dyDescent="0.2">
      <c r="B153" s="17" t="s">
        <v>289</v>
      </c>
      <c r="C153" s="17" t="s">
        <v>5</v>
      </c>
      <c r="D153" s="17" t="s">
        <v>6</v>
      </c>
      <c r="E153" s="37" t="s">
        <v>7</v>
      </c>
      <c r="F153" s="17" t="s">
        <v>8</v>
      </c>
      <c r="G153" s="17" t="s">
        <v>51</v>
      </c>
      <c r="H153" s="17" t="s">
        <v>10</v>
      </c>
      <c r="I153" s="17" t="s">
        <v>11</v>
      </c>
      <c r="J153" s="17" t="s">
        <v>12</v>
      </c>
      <c r="K153" s="17" t="s">
        <v>13</v>
      </c>
      <c r="L153" s="17" t="s">
        <v>14</v>
      </c>
      <c r="M153" s="17" t="s">
        <v>15</v>
      </c>
      <c r="N153" s="17" t="s">
        <v>16</v>
      </c>
      <c r="O153" s="17" t="s">
        <v>17</v>
      </c>
      <c r="P153" s="17" t="s">
        <v>18</v>
      </c>
      <c r="Q153" s="17" t="s">
        <v>19</v>
      </c>
      <c r="R153" s="17" t="s">
        <v>20</v>
      </c>
    </row>
    <row r="154" spans="1:18" x14ac:dyDescent="0.2">
      <c r="B154" s="22" t="s">
        <v>290</v>
      </c>
      <c r="C154" s="23" t="s">
        <v>291</v>
      </c>
      <c r="D154" s="24">
        <f>Tabla134681523314149576573818997105113121129137145153137161169177185193161169177201209217225233241249257265273281289297305313321329337343351359367375383152331[[#This Row],[STOCK]]</f>
        <v>757</v>
      </c>
      <c r="E154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753</v>
      </c>
      <c r="F154" s="23"/>
      <c r="G154" s="24">
        <v>3</v>
      </c>
      <c r="H154" s="39"/>
      <c r="I154" s="40">
        <v>1</v>
      </c>
      <c r="J154" s="41"/>
      <c r="K154" s="39"/>
      <c r="L154" s="40"/>
      <c r="M154" s="41"/>
      <c r="N154" s="39"/>
      <c r="O154" s="40"/>
      <c r="P154" s="41"/>
      <c r="Q154" s="39"/>
      <c r="R154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4</v>
      </c>
    </row>
    <row r="155" spans="1:18" x14ac:dyDescent="0.2">
      <c r="B155" s="29" t="s">
        <v>292</v>
      </c>
      <c r="C155" s="30" t="s">
        <v>293</v>
      </c>
      <c r="D155" s="31">
        <f>Tabla134681523314149576573818997105113121129137145153137161169177185193161169177201209217225233241249257265273281289297305313321329337343351359367375383152331[[#This Row],[STOCK]]</f>
        <v>481</v>
      </c>
      <c r="E155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478</v>
      </c>
      <c r="F155" s="30"/>
      <c r="G155" s="31">
        <v>3</v>
      </c>
      <c r="H155" s="42"/>
      <c r="I155" s="43"/>
      <c r="J155" s="44"/>
      <c r="K155" s="42"/>
      <c r="L155" s="43"/>
      <c r="M155" s="44"/>
      <c r="N155" s="42"/>
      <c r="O155" s="43"/>
      <c r="P155" s="44"/>
      <c r="Q155" s="42"/>
      <c r="R155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3</v>
      </c>
    </row>
    <row r="156" spans="1:18" ht="13.5" customHeight="1" x14ac:dyDescent="0.2">
      <c r="B156" s="22" t="s">
        <v>294</v>
      </c>
      <c r="C156" s="23" t="s">
        <v>295</v>
      </c>
      <c r="D156" s="24">
        <f>Tabla134681523314149576573818997105113121129137145153137161169177185193161169177201209217225233241249257265273281289297305313321329337343351359367375383152331[[#This Row],[STOCK]]</f>
        <v>324</v>
      </c>
      <c r="E156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321</v>
      </c>
      <c r="F156" s="23"/>
      <c r="G156" s="24">
        <v>3</v>
      </c>
      <c r="H156" s="39"/>
      <c r="I156" s="40"/>
      <c r="J156" s="41"/>
      <c r="K156" s="39"/>
      <c r="L156" s="40"/>
      <c r="M156" s="41"/>
      <c r="N156" s="39"/>
      <c r="O156" s="40"/>
      <c r="P156" s="41"/>
      <c r="Q156" s="39"/>
      <c r="R156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3</v>
      </c>
    </row>
    <row r="157" spans="1:18" x14ac:dyDescent="0.2">
      <c r="B157" s="29" t="s">
        <v>296</v>
      </c>
      <c r="C157" s="30" t="s">
        <v>297</v>
      </c>
      <c r="D157" s="31">
        <f>Tabla134681523314149576573818997105113121129137145153137161169177185193161169177201209217225233241249257265273281289297305313321329337343351359367375383152331[[#This Row],[STOCK]]</f>
        <v>652</v>
      </c>
      <c r="E157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652</v>
      </c>
      <c r="F157" s="30"/>
      <c r="G157" s="31"/>
      <c r="H157" s="42"/>
      <c r="I157" s="43"/>
      <c r="J157" s="44"/>
      <c r="K157" s="42"/>
      <c r="L157" s="43"/>
      <c r="M157" s="44"/>
      <c r="N157" s="42"/>
      <c r="O157" s="43"/>
      <c r="P157" s="44"/>
      <c r="Q157" s="42"/>
      <c r="R157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58" spans="1:18" x14ac:dyDescent="0.2">
      <c r="B158" s="22" t="s">
        <v>298</v>
      </c>
      <c r="C158" s="23" t="s">
        <v>299</v>
      </c>
      <c r="D158" s="24">
        <f>Tabla134681523314149576573818997105113121129137145153137161169177185193161169177201209217225233241249257265273281289297305313321329337343351359367375383152331[[#This Row],[STOCK]]</f>
        <v>836</v>
      </c>
      <c r="E158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836</v>
      </c>
      <c r="F158" s="23"/>
      <c r="G158" s="24"/>
      <c r="H158" s="39"/>
      <c r="I158" s="40"/>
      <c r="J158" s="41"/>
      <c r="K158" s="39"/>
      <c r="L158" s="40"/>
      <c r="M158" s="41"/>
      <c r="N158" s="39"/>
      <c r="O158" s="40"/>
      <c r="P158" s="41"/>
      <c r="Q158" s="39"/>
      <c r="R158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59" spans="1:18" x14ac:dyDescent="0.2">
      <c r="B159" s="29" t="s">
        <v>300</v>
      </c>
      <c r="C159" s="30" t="s">
        <v>301</v>
      </c>
      <c r="D159" s="31">
        <f>Tabla134681523314149576573818997105113121129137145153137161169177185193161169177201209217225233241249257265273281289297305313321329337343351359367375383152331[[#This Row],[STOCK]]</f>
        <v>26</v>
      </c>
      <c r="E159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26</v>
      </c>
      <c r="F159" s="30"/>
      <c r="G159" s="31"/>
      <c r="H159" s="42"/>
      <c r="I159" s="43"/>
      <c r="J159" s="44"/>
      <c r="K159" s="42"/>
      <c r="L159" s="43"/>
      <c r="M159" s="44"/>
      <c r="N159" s="42"/>
      <c r="O159" s="43"/>
      <c r="P159" s="44"/>
      <c r="Q159" s="42"/>
      <c r="R159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60" spans="1:18" x14ac:dyDescent="0.2">
      <c r="B160" s="22" t="s">
        <v>302</v>
      </c>
      <c r="C160" s="23" t="s">
        <v>303</v>
      </c>
      <c r="D160" s="24">
        <f>Tabla134681523314149576573818997105113121129137145153137161169177185193161169177201209217225233241249257265273281289297305313321329337343351359367375383152331[[#This Row],[STOCK]]</f>
        <v>645</v>
      </c>
      <c r="E160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638</v>
      </c>
      <c r="F160" s="23"/>
      <c r="G160" s="24">
        <v>2</v>
      </c>
      <c r="H160" s="39"/>
      <c r="I160" s="40">
        <v>5</v>
      </c>
      <c r="J160" s="41"/>
      <c r="K160" s="39"/>
      <c r="L160" s="40"/>
      <c r="M160" s="41"/>
      <c r="N160" s="39"/>
      <c r="O160" s="40"/>
      <c r="P160" s="41"/>
      <c r="Q160" s="39"/>
      <c r="R160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7</v>
      </c>
    </row>
    <row r="161" spans="2:18" x14ac:dyDescent="0.2">
      <c r="B161" s="29" t="s">
        <v>304</v>
      </c>
      <c r="C161" s="30" t="s">
        <v>305</v>
      </c>
      <c r="D161" s="31">
        <f>Tabla134681523314149576573818997105113121129137145153137161169177185193161169177201209217225233241249257265273281289297305313321329337343351359367375383152331[[#This Row],[STOCK]]</f>
        <v>564</v>
      </c>
      <c r="E161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557</v>
      </c>
      <c r="F161" s="30"/>
      <c r="G161" s="31">
        <v>2</v>
      </c>
      <c r="H161" s="42"/>
      <c r="I161" s="43">
        <v>5</v>
      </c>
      <c r="J161" s="44"/>
      <c r="K161" s="42"/>
      <c r="L161" s="43"/>
      <c r="M161" s="44"/>
      <c r="N161" s="42"/>
      <c r="O161" s="43"/>
      <c r="P161" s="44"/>
      <c r="Q161" s="42"/>
      <c r="R161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7</v>
      </c>
    </row>
    <row r="162" spans="2:18" x14ac:dyDescent="0.2">
      <c r="B162" s="22" t="s">
        <v>306</v>
      </c>
      <c r="C162" s="23" t="s">
        <v>307</v>
      </c>
      <c r="D162" s="24">
        <f>Tabla134681523314149576573818997105113121129137145153137161169177185193161169177201209217225233241249257265273281289297305313321329337343351359367375383152331[[#This Row],[STOCK]]</f>
        <v>571</v>
      </c>
      <c r="E162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564</v>
      </c>
      <c r="F162" s="23"/>
      <c r="G162" s="24">
        <v>2</v>
      </c>
      <c r="H162" s="39"/>
      <c r="I162" s="40">
        <v>5</v>
      </c>
      <c r="J162" s="41"/>
      <c r="K162" s="39"/>
      <c r="L162" s="40"/>
      <c r="M162" s="41"/>
      <c r="N162" s="39"/>
      <c r="O162" s="40"/>
      <c r="P162" s="41"/>
      <c r="Q162" s="39"/>
      <c r="R162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7</v>
      </c>
    </row>
    <row r="163" spans="2:18" x14ac:dyDescent="0.2">
      <c r="B163" s="29" t="s">
        <v>308</v>
      </c>
      <c r="C163" s="30" t="s">
        <v>309</v>
      </c>
      <c r="D163" s="31">
        <f>Tabla134681523314149576573818997105113121129137145153137161169177185193161169177201209217225233241249257265273281289297305313321329337343351359367375383152331[[#This Row],[STOCK]]</f>
        <v>468</v>
      </c>
      <c r="E163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466</v>
      </c>
      <c r="F163" s="30"/>
      <c r="G163" s="31">
        <v>2</v>
      </c>
      <c r="H163" s="42"/>
      <c r="I163" s="43"/>
      <c r="J163" s="44"/>
      <c r="K163" s="42"/>
      <c r="L163" s="43"/>
      <c r="M163" s="44"/>
      <c r="N163" s="42"/>
      <c r="O163" s="43"/>
      <c r="P163" s="44"/>
      <c r="Q163" s="42"/>
      <c r="R163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2</v>
      </c>
    </row>
    <row r="164" spans="2:18" x14ac:dyDescent="0.2">
      <c r="B164" s="22" t="s">
        <v>310</v>
      </c>
      <c r="C164" s="23" t="s">
        <v>311</v>
      </c>
      <c r="D164" s="24">
        <f>Tabla134681523314149576573818997105113121129137145153137161169177185193161169177201209217225233241249257265273281289297305313321329337343351359367375383152331[[#This Row],[STOCK]]</f>
        <v>537</v>
      </c>
      <c r="E164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534</v>
      </c>
      <c r="F164" s="23"/>
      <c r="G164" s="24">
        <v>3</v>
      </c>
      <c r="H164" s="39"/>
      <c r="I164" s="40"/>
      <c r="J164" s="41"/>
      <c r="K164" s="39"/>
      <c r="L164" s="40"/>
      <c r="M164" s="41"/>
      <c r="N164" s="39"/>
      <c r="O164" s="40"/>
      <c r="P164" s="41"/>
      <c r="Q164" s="39"/>
      <c r="R164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3</v>
      </c>
    </row>
    <row r="165" spans="2:18" x14ac:dyDescent="0.2">
      <c r="B165" s="29" t="s">
        <v>312</v>
      </c>
      <c r="C165" s="30" t="s">
        <v>313</v>
      </c>
      <c r="D165" s="31">
        <f>Tabla134681523314149576573818997105113121129137145153137161169177185193161169177201209217225233241249257265273281289297305313321329337343351359367375383152331[[#This Row],[STOCK]]</f>
        <v>18</v>
      </c>
      <c r="E165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15</v>
      </c>
      <c r="F165" s="30"/>
      <c r="G165" s="31">
        <v>3</v>
      </c>
      <c r="H165" s="42"/>
      <c r="I165" s="43"/>
      <c r="J165" s="44"/>
      <c r="K165" s="42"/>
      <c r="L165" s="43"/>
      <c r="M165" s="44"/>
      <c r="N165" s="42"/>
      <c r="O165" s="43"/>
      <c r="P165" s="44"/>
      <c r="Q165" s="42"/>
      <c r="R165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3</v>
      </c>
    </row>
    <row r="166" spans="2:18" x14ac:dyDescent="0.2">
      <c r="B166" s="22" t="s">
        <v>314</v>
      </c>
      <c r="C166" s="23" t="s">
        <v>315</v>
      </c>
      <c r="D166" s="24">
        <f>Tabla134681523314149576573818997105113121129137145153137161169177185193161169177201209217225233241249257265273281289297305313321329337343351359367375383152331[[#This Row],[STOCK]]</f>
        <v>54</v>
      </c>
      <c r="E166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54</v>
      </c>
      <c r="F166" s="23"/>
      <c r="G166" s="24"/>
      <c r="H166" s="39"/>
      <c r="I166" s="40"/>
      <c r="J166" s="41"/>
      <c r="K166" s="39"/>
      <c r="L166" s="40"/>
      <c r="M166" s="41"/>
      <c r="N166" s="39"/>
      <c r="O166" s="40"/>
      <c r="P166" s="41"/>
      <c r="Q166" s="39"/>
      <c r="R166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67" spans="2:18" x14ac:dyDescent="0.2">
      <c r="B167" s="29" t="s">
        <v>316</v>
      </c>
      <c r="C167" s="30" t="s">
        <v>317</v>
      </c>
      <c r="D167" s="31">
        <f>Tabla134681523314149576573818997105113121129137145153137161169177185193161169177201209217225233241249257265273281289297305313321329337343351359367375383152331[[#This Row],[STOCK]]</f>
        <v>0</v>
      </c>
      <c r="E167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0</v>
      </c>
      <c r="F167" s="30"/>
      <c r="G167" s="31"/>
      <c r="H167" s="42"/>
      <c r="I167" s="43"/>
      <c r="J167" s="44"/>
      <c r="K167" s="42"/>
      <c r="L167" s="43"/>
      <c r="M167" s="44"/>
      <c r="N167" s="42"/>
      <c r="O167" s="43"/>
      <c r="P167" s="44"/>
      <c r="Q167" s="42"/>
      <c r="R167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68" spans="2:18" x14ac:dyDescent="0.2">
      <c r="B168" s="22" t="s">
        <v>318</v>
      </c>
      <c r="C168" s="23" t="s">
        <v>319</v>
      </c>
      <c r="D168" s="24">
        <f>Tabla134681523314149576573818997105113121129137145153137161169177185193161169177201209217225233241249257265273281289297305313321329337343351359367375383152331[[#This Row],[STOCK]]</f>
        <v>104</v>
      </c>
      <c r="E168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104</v>
      </c>
      <c r="F168" s="23"/>
      <c r="G168" s="24"/>
      <c r="H168" s="39"/>
      <c r="I168" s="40"/>
      <c r="J168" s="41"/>
      <c r="K168" s="39"/>
      <c r="L168" s="40"/>
      <c r="M168" s="41"/>
      <c r="N168" s="39"/>
      <c r="O168" s="40"/>
      <c r="P168" s="41"/>
      <c r="Q168" s="39"/>
      <c r="R168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69" spans="2:18" ht="13.5" customHeight="1" x14ac:dyDescent="0.2">
      <c r="B169" s="29" t="s">
        <v>320</v>
      </c>
      <c r="C169" s="30" t="s">
        <v>321</v>
      </c>
      <c r="D169" s="31">
        <f>Tabla134681523314149576573818997105113121129137145153137161169177185193161169177201209217225233241249257265273281289297305313321329337343351359367375383152331[[#This Row],[STOCK]]</f>
        <v>107</v>
      </c>
      <c r="E169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106</v>
      </c>
      <c r="F169" s="30"/>
      <c r="G169" s="31">
        <v>1</v>
      </c>
      <c r="H169" s="42"/>
      <c r="I169" s="43"/>
      <c r="J169" s="44"/>
      <c r="K169" s="42"/>
      <c r="L169" s="43"/>
      <c r="M169" s="44"/>
      <c r="N169" s="42"/>
      <c r="O169" s="43"/>
      <c r="P169" s="44"/>
      <c r="Q169" s="42"/>
      <c r="R169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1</v>
      </c>
    </row>
    <row r="170" spans="2:18" x14ac:dyDescent="0.2">
      <c r="B170" s="22" t="s">
        <v>322</v>
      </c>
      <c r="C170" s="23" t="s">
        <v>323</v>
      </c>
      <c r="D170" s="24">
        <f>Tabla134681523314149576573818997105113121129137145153137161169177185193161169177201209217225233241249257265273281289297305313321329337343351359367375383152331[[#This Row],[STOCK]]</f>
        <v>105</v>
      </c>
      <c r="E170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103</v>
      </c>
      <c r="F170" s="23"/>
      <c r="G170" s="24">
        <v>2</v>
      </c>
      <c r="H170" s="39"/>
      <c r="I170" s="40"/>
      <c r="J170" s="41"/>
      <c r="K170" s="39"/>
      <c r="L170" s="40"/>
      <c r="M170" s="41"/>
      <c r="N170" s="39"/>
      <c r="O170" s="40"/>
      <c r="P170" s="41"/>
      <c r="Q170" s="39"/>
      <c r="R170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2</v>
      </c>
    </row>
    <row r="171" spans="2:18" x14ac:dyDescent="0.2">
      <c r="B171" s="29" t="s">
        <v>324</v>
      </c>
      <c r="C171" s="30" t="s">
        <v>325</v>
      </c>
      <c r="D171" s="31">
        <f>Tabla134681523314149576573818997105113121129137145153137161169177185193161169177201209217225233241249257265273281289297305313321329337343351359367375383152331[[#This Row],[STOCK]]</f>
        <v>106</v>
      </c>
      <c r="E171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106</v>
      </c>
      <c r="F171" s="30"/>
      <c r="G171" s="31"/>
      <c r="H171" s="42"/>
      <c r="I171" s="43"/>
      <c r="J171" s="44"/>
      <c r="K171" s="42"/>
      <c r="L171" s="43"/>
      <c r="M171" s="44"/>
      <c r="N171" s="42"/>
      <c r="O171" s="43"/>
      <c r="P171" s="44"/>
      <c r="Q171" s="42"/>
      <c r="R171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72" spans="2:18" x14ac:dyDescent="0.2">
      <c r="B172" s="22" t="s">
        <v>326</v>
      </c>
      <c r="C172" s="23" t="s">
        <v>327</v>
      </c>
      <c r="D172" s="24">
        <f>Tabla134681523314149576573818997105113121129137145153137161169177185193161169177201209217225233241249257265273281289297305313321329337343351359367375383152331[[#This Row],[STOCK]]</f>
        <v>109</v>
      </c>
      <c r="E172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108</v>
      </c>
      <c r="F172" s="23"/>
      <c r="G172" s="24"/>
      <c r="H172" s="39"/>
      <c r="I172" s="40">
        <v>1</v>
      </c>
      <c r="J172" s="41"/>
      <c r="K172" s="39"/>
      <c r="L172" s="40"/>
      <c r="M172" s="41"/>
      <c r="N172" s="39"/>
      <c r="O172" s="40"/>
      <c r="P172" s="41"/>
      <c r="Q172" s="39"/>
      <c r="R172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1</v>
      </c>
    </row>
    <row r="173" spans="2:18" x14ac:dyDescent="0.2">
      <c r="B173" s="29" t="s">
        <v>328</v>
      </c>
      <c r="C173" s="30" t="s">
        <v>329</v>
      </c>
      <c r="D173" s="31">
        <f>Tabla134681523314149576573818997105113121129137145153137161169177185193161169177201209217225233241249257265273281289297305313321329337343351359367375383152331[[#This Row],[STOCK]]</f>
        <v>112</v>
      </c>
      <c r="E173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112</v>
      </c>
      <c r="F173" s="30"/>
      <c r="G173" s="31"/>
      <c r="H173" s="42"/>
      <c r="I173" s="43"/>
      <c r="J173" s="44"/>
      <c r="K173" s="42"/>
      <c r="L173" s="43"/>
      <c r="M173" s="44"/>
      <c r="N173" s="42"/>
      <c r="O173" s="43"/>
      <c r="P173" s="44"/>
      <c r="Q173" s="42"/>
      <c r="R173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74" spans="2:18" x14ac:dyDescent="0.2">
      <c r="B174" s="22" t="s">
        <v>330</v>
      </c>
      <c r="C174" s="23" t="s">
        <v>331</v>
      </c>
      <c r="D174" s="24">
        <f>Tabla134681523314149576573818997105113121129137145153137161169177185193161169177201209217225233241249257265273281289297305313321329337343351359367375383152331[[#This Row],[STOCK]]</f>
        <v>61</v>
      </c>
      <c r="E174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61</v>
      </c>
      <c r="F174" s="23"/>
      <c r="G174" s="24"/>
      <c r="H174" s="39"/>
      <c r="I174" s="40"/>
      <c r="J174" s="41"/>
      <c r="K174" s="39"/>
      <c r="L174" s="40"/>
      <c r="M174" s="41"/>
      <c r="N174" s="39"/>
      <c r="O174" s="40"/>
      <c r="P174" s="41"/>
      <c r="Q174" s="39"/>
      <c r="R174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75" spans="2:18" x14ac:dyDescent="0.2">
      <c r="B175" s="29" t="s">
        <v>332</v>
      </c>
      <c r="C175" s="30" t="s">
        <v>333</v>
      </c>
      <c r="D175" s="31">
        <f>Tabla134681523314149576573818997105113121129137145153137161169177185193161169177201209217225233241249257265273281289297305313321329337343351359367375383152331[[#This Row],[STOCK]]</f>
        <v>147</v>
      </c>
      <c r="E175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146</v>
      </c>
      <c r="F175" s="30"/>
      <c r="G175" s="31">
        <v>1</v>
      </c>
      <c r="H175" s="42"/>
      <c r="I175" s="43"/>
      <c r="J175" s="44"/>
      <c r="K175" s="42"/>
      <c r="L175" s="43"/>
      <c r="M175" s="44"/>
      <c r="N175" s="42"/>
      <c r="O175" s="43"/>
      <c r="P175" s="44"/>
      <c r="Q175" s="42"/>
      <c r="R175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1</v>
      </c>
    </row>
    <row r="176" spans="2:18" x14ac:dyDescent="0.2">
      <c r="B176" s="22" t="s">
        <v>334</v>
      </c>
      <c r="C176" s="23" t="s">
        <v>335</v>
      </c>
      <c r="D176" s="24">
        <f>Tabla134681523314149576573818997105113121129137145153137161169177185193161169177201209217225233241249257265273281289297305313321329337343351359367375383152331[[#This Row],[STOCK]]</f>
        <v>104</v>
      </c>
      <c r="E176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104</v>
      </c>
      <c r="F176" s="23"/>
      <c r="G176" s="24"/>
      <c r="H176" s="39"/>
      <c r="I176" s="40"/>
      <c r="J176" s="41"/>
      <c r="K176" s="39"/>
      <c r="L176" s="40"/>
      <c r="M176" s="41"/>
      <c r="N176" s="39"/>
      <c r="O176" s="40"/>
      <c r="P176" s="41"/>
      <c r="Q176" s="39"/>
      <c r="R176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77" spans="2:18" x14ac:dyDescent="0.2">
      <c r="B177" s="29" t="s">
        <v>336</v>
      </c>
      <c r="C177" s="30" t="s">
        <v>337</v>
      </c>
      <c r="D177" s="31">
        <f>Tabla134681523314149576573818997105113121129137145153137161169177185193161169177201209217225233241249257265273281289297305313321329337343351359367375383152331[[#This Row],[STOCK]]</f>
        <v>58</v>
      </c>
      <c r="E177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53</v>
      </c>
      <c r="F177" s="30"/>
      <c r="G177" s="31">
        <v>4</v>
      </c>
      <c r="H177" s="42"/>
      <c r="I177" s="43">
        <v>1</v>
      </c>
      <c r="J177" s="44"/>
      <c r="K177" s="42"/>
      <c r="L177" s="43"/>
      <c r="M177" s="44"/>
      <c r="N177" s="42"/>
      <c r="O177" s="43"/>
      <c r="P177" s="44"/>
      <c r="Q177" s="42"/>
      <c r="R177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5</v>
      </c>
    </row>
    <row r="178" spans="2:18" x14ac:dyDescent="0.2">
      <c r="B178" s="22" t="s">
        <v>338</v>
      </c>
      <c r="C178" s="23" t="s">
        <v>339</v>
      </c>
      <c r="D178" s="24">
        <f>Tabla134681523314149576573818997105113121129137145153137161169177185193161169177201209217225233241249257265273281289297305313321329337343351359367375383152331[[#This Row],[STOCK]]</f>
        <v>0</v>
      </c>
      <c r="E178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0</v>
      </c>
      <c r="F178" s="23"/>
      <c r="G178" s="24"/>
      <c r="H178" s="39"/>
      <c r="I178" s="40"/>
      <c r="J178" s="41"/>
      <c r="K178" s="39"/>
      <c r="L178" s="40"/>
      <c r="M178" s="41"/>
      <c r="N178" s="39"/>
      <c r="O178" s="40"/>
      <c r="P178" s="41"/>
      <c r="Q178" s="39"/>
      <c r="R178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79" spans="2:18" x14ac:dyDescent="0.2">
      <c r="B179" s="29" t="s">
        <v>340</v>
      </c>
      <c r="C179" s="30" t="s">
        <v>341</v>
      </c>
      <c r="D179" s="31">
        <f>Tabla134681523314149576573818997105113121129137145153137161169177185193161169177201209217225233241249257265273281289297305313321329337343351359367375383152331[[#This Row],[STOCK]]</f>
        <v>47</v>
      </c>
      <c r="E179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47</v>
      </c>
      <c r="F179" s="30"/>
      <c r="G179" s="31"/>
      <c r="H179" s="42"/>
      <c r="I179" s="43"/>
      <c r="J179" s="44"/>
      <c r="K179" s="42"/>
      <c r="L179" s="43"/>
      <c r="M179" s="44"/>
      <c r="N179" s="42"/>
      <c r="O179" s="43"/>
      <c r="P179" s="44"/>
      <c r="Q179" s="42"/>
      <c r="R179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80" spans="2:18" x14ac:dyDescent="0.2">
      <c r="B180" s="22" t="s">
        <v>342</v>
      </c>
      <c r="C180" s="23" t="s">
        <v>343</v>
      </c>
      <c r="D180" s="24">
        <f>Tabla134681523314149576573818997105113121129137145153137161169177185193161169177201209217225233241249257265273281289297305313321329337343351359367375383152331[[#This Row],[STOCK]]</f>
        <v>29</v>
      </c>
      <c r="E180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29</v>
      </c>
      <c r="F180" s="23"/>
      <c r="G180" s="24"/>
      <c r="H180" s="39"/>
      <c r="I180" s="40"/>
      <c r="J180" s="41"/>
      <c r="K180" s="39"/>
      <c r="L180" s="40"/>
      <c r="M180" s="41"/>
      <c r="N180" s="39"/>
      <c r="O180" s="40"/>
      <c r="P180" s="41"/>
      <c r="Q180" s="39"/>
      <c r="R180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81" spans="2:18" x14ac:dyDescent="0.2">
      <c r="B181" s="29" t="s">
        <v>344</v>
      </c>
      <c r="C181" s="30" t="s">
        <v>345</v>
      </c>
      <c r="D181" s="31">
        <f>Tabla134681523314149576573818997105113121129137145153137161169177185193161169177201209217225233241249257265273281289297305313321329337343351359367375383152331[[#This Row],[STOCK]]</f>
        <v>195</v>
      </c>
      <c r="E181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195</v>
      </c>
      <c r="F181" s="30"/>
      <c r="G181" s="31"/>
      <c r="H181" s="42"/>
      <c r="I181" s="43"/>
      <c r="J181" s="44"/>
      <c r="K181" s="42"/>
      <c r="L181" s="43"/>
      <c r="M181" s="44"/>
      <c r="N181" s="42"/>
      <c r="O181" s="43"/>
      <c r="P181" s="44"/>
      <c r="Q181" s="42"/>
      <c r="R181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82" spans="2:18" x14ac:dyDescent="0.2">
      <c r="B182" s="22" t="s">
        <v>346</v>
      </c>
      <c r="C182" s="23" t="s">
        <v>347</v>
      </c>
      <c r="D182" s="24">
        <f>Tabla134681523314149576573818997105113121129137145153137161169177185193161169177201209217225233241249257265273281289297305313321329337343351359367375383152331[[#This Row],[STOCK]]</f>
        <v>0</v>
      </c>
      <c r="E182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0</v>
      </c>
      <c r="F182" s="23"/>
      <c r="G182" s="24"/>
      <c r="H182" s="39"/>
      <c r="I182" s="40"/>
      <c r="J182" s="41"/>
      <c r="K182" s="39"/>
      <c r="L182" s="40"/>
      <c r="M182" s="41"/>
      <c r="N182" s="39"/>
      <c r="O182" s="40"/>
      <c r="P182" s="41"/>
      <c r="Q182" s="39"/>
      <c r="R182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83" spans="2:18" x14ac:dyDescent="0.2">
      <c r="B183" s="29" t="s">
        <v>348</v>
      </c>
      <c r="C183" s="30" t="s">
        <v>349</v>
      </c>
      <c r="D183" s="31">
        <f>Tabla134681523314149576573818997105113121129137145153137161169177185193161169177201209217225233241249257265273281289297305313321329337343351359367375383152331[[#This Row],[STOCK]]</f>
        <v>24</v>
      </c>
      <c r="E183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24</v>
      </c>
      <c r="F183" s="30"/>
      <c r="G183" s="31"/>
      <c r="H183" s="42"/>
      <c r="I183" s="43"/>
      <c r="J183" s="44"/>
      <c r="K183" s="42"/>
      <c r="L183" s="43"/>
      <c r="M183" s="44"/>
      <c r="N183" s="42"/>
      <c r="O183" s="43"/>
      <c r="P183" s="44"/>
      <c r="Q183" s="42"/>
      <c r="R183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84" spans="2:18" x14ac:dyDescent="0.2">
      <c r="B184" s="22" t="s">
        <v>350</v>
      </c>
      <c r="C184" s="23" t="s">
        <v>351</v>
      </c>
      <c r="D184" s="24">
        <f>Tabla134681523314149576573818997105113121129137145153137161169177185193161169177201209217225233241249257265273281289297305313321329337343351359367375383152331[[#This Row],[STOCK]]</f>
        <v>33</v>
      </c>
      <c r="E184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33</v>
      </c>
      <c r="F184" s="23"/>
      <c r="G184" s="24"/>
      <c r="H184" s="39"/>
      <c r="I184" s="40"/>
      <c r="J184" s="41"/>
      <c r="K184" s="39"/>
      <c r="L184" s="40"/>
      <c r="M184" s="41"/>
      <c r="N184" s="39"/>
      <c r="O184" s="40"/>
      <c r="P184" s="41"/>
      <c r="Q184" s="39"/>
      <c r="R184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85" spans="2:18" x14ac:dyDescent="0.2">
      <c r="B185" s="29" t="s">
        <v>352</v>
      </c>
      <c r="C185" s="30" t="s">
        <v>353</v>
      </c>
      <c r="D185" s="31">
        <f>Tabla134681523314149576573818997105113121129137145153137161169177185193161169177201209217225233241249257265273281289297305313321329337343351359367375383152331[[#This Row],[STOCK]]</f>
        <v>0</v>
      </c>
      <c r="E185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0</v>
      </c>
      <c r="F185" s="30"/>
      <c r="G185" s="31"/>
      <c r="H185" s="42"/>
      <c r="I185" s="43"/>
      <c r="J185" s="44"/>
      <c r="K185" s="42"/>
      <c r="L185" s="43"/>
      <c r="M185" s="44"/>
      <c r="N185" s="42"/>
      <c r="O185" s="43"/>
      <c r="P185" s="44"/>
      <c r="Q185" s="42"/>
      <c r="R185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86" spans="2:18" x14ac:dyDescent="0.2">
      <c r="B186" s="22" t="s">
        <v>354</v>
      </c>
      <c r="C186" s="23" t="s">
        <v>355</v>
      </c>
      <c r="D186" s="24">
        <f>Tabla134681523314149576573818997105113121129137145153137161169177185193161169177201209217225233241249257265273281289297305313321329337343351359367375383152331[[#This Row],[STOCK]]</f>
        <v>11</v>
      </c>
      <c r="E186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11</v>
      </c>
      <c r="F186" s="23"/>
      <c r="G186" s="24"/>
      <c r="H186" s="39"/>
      <c r="I186" s="40"/>
      <c r="J186" s="41"/>
      <c r="K186" s="39"/>
      <c r="L186" s="40"/>
      <c r="M186" s="41"/>
      <c r="N186" s="39"/>
      <c r="O186" s="40"/>
      <c r="P186" s="41"/>
      <c r="Q186" s="39"/>
      <c r="R186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87" spans="2:18" x14ac:dyDescent="0.2">
      <c r="B187" s="29" t="s">
        <v>356</v>
      </c>
      <c r="C187" s="30" t="s">
        <v>357</v>
      </c>
      <c r="D187" s="31">
        <f>Tabla134681523314149576573818997105113121129137145153137161169177185193161169177201209217225233241249257265273281289297305313321329337343351359367375383152331[[#This Row],[STOCK]]</f>
        <v>9</v>
      </c>
      <c r="E187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9</v>
      </c>
      <c r="F187" s="30"/>
      <c r="G187" s="31"/>
      <c r="H187" s="42"/>
      <c r="I187" s="43"/>
      <c r="J187" s="44"/>
      <c r="K187" s="42"/>
      <c r="L187" s="43"/>
      <c r="M187" s="44"/>
      <c r="N187" s="42"/>
      <c r="O187" s="43"/>
      <c r="P187" s="44"/>
      <c r="Q187" s="42"/>
      <c r="R187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88" spans="2:18" x14ac:dyDescent="0.2">
      <c r="B188" s="22" t="s">
        <v>358</v>
      </c>
      <c r="C188" s="23" t="s">
        <v>359</v>
      </c>
      <c r="D188" s="24">
        <f>Tabla134681523314149576573818997105113121129137145153137161169177185193161169177201209217225233241249257265273281289297305313321329337343351359367375383152331[[#This Row],[STOCK]]</f>
        <v>0</v>
      </c>
      <c r="E188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0</v>
      </c>
      <c r="F188" s="23"/>
      <c r="G188" s="24"/>
      <c r="H188" s="39"/>
      <c r="I188" s="40"/>
      <c r="J188" s="41"/>
      <c r="K188" s="39"/>
      <c r="L188" s="40"/>
      <c r="M188" s="41"/>
      <c r="N188" s="39"/>
      <c r="O188" s="40"/>
      <c r="P188" s="41"/>
      <c r="Q188" s="39"/>
      <c r="R188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89" spans="2:18" x14ac:dyDescent="0.2">
      <c r="B189" s="29" t="s">
        <v>360</v>
      </c>
      <c r="C189" s="30" t="s">
        <v>361</v>
      </c>
      <c r="D189" s="31">
        <f>Tabla134681523314149576573818997105113121129137145153137161169177185193161169177201209217225233241249257265273281289297305313321329337343351359367375383152331[[#This Row],[STOCK]]</f>
        <v>81</v>
      </c>
      <c r="E189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81</v>
      </c>
      <c r="F189" s="30"/>
      <c r="G189" s="31"/>
      <c r="H189" s="42"/>
      <c r="I189" s="43"/>
      <c r="J189" s="44"/>
      <c r="K189" s="42"/>
      <c r="L189" s="43"/>
      <c r="M189" s="44"/>
      <c r="N189" s="42"/>
      <c r="O189" s="43"/>
      <c r="P189" s="44"/>
      <c r="Q189" s="42"/>
      <c r="R189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90" spans="2:18" x14ac:dyDescent="0.2">
      <c r="B190" s="22" t="s">
        <v>362</v>
      </c>
      <c r="C190" s="23" t="s">
        <v>363</v>
      </c>
      <c r="D190" s="24">
        <f>Tabla134681523314149576573818997105113121129137145153137161169177185193161169177201209217225233241249257265273281289297305313321329337343351359367375383152331[[#This Row],[STOCK]]</f>
        <v>0</v>
      </c>
      <c r="E190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0</v>
      </c>
      <c r="F190" s="23"/>
      <c r="G190" s="24"/>
      <c r="H190" s="39"/>
      <c r="I190" s="40"/>
      <c r="J190" s="41"/>
      <c r="K190" s="39"/>
      <c r="L190" s="40"/>
      <c r="M190" s="41"/>
      <c r="N190" s="39"/>
      <c r="O190" s="40"/>
      <c r="P190" s="41"/>
      <c r="Q190" s="39"/>
      <c r="R190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91" spans="2:18" x14ac:dyDescent="0.2">
      <c r="B191" s="29" t="s">
        <v>364</v>
      </c>
      <c r="C191" s="30" t="s">
        <v>365</v>
      </c>
      <c r="D191" s="31">
        <f>Tabla134681523314149576573818997105113121129137145153137161169177185193161169177201209217225233241249257265273281289297305313321329337343351359367375383152331[[#This Row],[STOCK]]</f>
        <v>0</v>
      </c>
      <c r="E191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0</v>
      </c>
      <c r="F191" s="30"/>
      <c r="G191" s="31"/>
      <c r="H191" s="42"/>
      <c r="I191" s="43"/>
      <c r="J191" s="44"/>
      <c r="K191" s="42"/>
      <c r="L191" s="43"/>
      <c r="M191" s="44"/>
      <c r="N191" s="42"/>
      <c r="O191" s="43"/>
      <c r="P191" s="44"/>
      <c r="Q191" s="42"/>
      <c r="R191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92" spans="2:18" x14ac:dyDescent="0.2">
      <c r="B192" s="22" t="s">
        <v>366</v>
      </c>
      <c r="C192" s="23" t="s">
        <v>367</v>
      </c>
      <c r="D192" s="24">
        <f>Tabla134681523314149576573818997105113121129137145153137161169177185193161169177201209217225233241249257265273281289297305313321329337343351359367375383152331[[#This Row],[STOCK]]</f>
        <v>0</v>
      </c>
      <c r="E192" s="25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0</v>
      </c>
      <c r="F192" s="23"/>
      <c r="G192" s="24"/>
      <c r="H192" s="39"/>
      <c r="I192" s="40"/>
      <c r="J192" s="41"/>
      <c r="K192" s="39"/>
      <c r="L192" s="40"/>
      <c r="M192" s="41"/>
      <c r="N192" s="39"/>
      <c r="O192" s="40"/>
      <c r="P192" s="41"/>
      <c r="Q192" s="39"/>
      <c r="R192" s="23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93" spans="2:18" x14ac:dyDescent="0.2">
      <c r="B193" s="29" t="s">
        <v>368</v>
      </c>
      <c r="C193" s="30" t="s">
        <v>369</v>
      </c>
      <c r="D193" s="31">
        <f>Tabla134681523314149576573818997105113121129137145153137161169177185193161169177201209217225233241249257265273281289297305313321329337343351359367375383152331[[#This Row],[STOCK]]</f>
        <v>0</v>
      </c>
      <c r="E193" s="32">
        <f>Tabla13468152331414957657381899710511312112913714515313716116917718519316116917720120921722523324124925726527328128929730531332132933734335135936737538315233139[[#This Row],[INVENTARIO INICIAL]]+Tabla13468152331414957657381899710511312112913714515313716116917718519316116917720120921722523324124925726527328128929730531332132933734335135936737538315233139[[#This Row],[INGRESO LUNES]]-Tabla13468152331414957657381899710511312112913714515313716116917718519316116917720120921722523324124925726527328128929730531332132933734335135936737538315233139[[#This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Row],[INGRESO MARTES]]-Tabla13468152331414957657381899710511312112913714515313716116917718519316116917720120921722523324124925726527328128929730531332132933734335135936737538315233139[[#This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Row],[INGRESO MIERCOLES]]-Tabla13468152331414957657381899710511312112913714515313716116917718519316116917720120921722523324124925726527328128929730531332132933734335135936737538315233139[[#This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Row],[INGRESO JUEVES]]-Tabla13468152331414957657381899710511312112913714515313716116917718519316116917720120921722523324124925726527328128929730531332132933734335135936737538315233139[[#This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Row],[INGRESO VIERNES]]-Tabla13468152331414957657381899710511312112913714515313716116917718519316116917720120921722523324124925726527328128929730531332132933734335135936737538315233139[[#This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 INGRESO SABADO]]-Tabla13468152331414957657381899710511312112913714515313716116917718519316116917720120921722523324124925726527328128929730531332132933734335135936737538315233139[[#This Row],[VENTA SABADO]]</f>
        <v>0</v>
      </c>
      <c r="F193" s="30"/>
      <c r="G193" s="31"/>
      <c r="H193" s="42"/>
      <c r="I193" s="43"/>
      <c r="J193" s="44"/>
      <c r="K193" s="42"/>
      <c r="L193" s="43"/>
      <c r="M193" s="44"/>
      <c r="N193" s="42"/>
      <c r="O193" s="43"/>
      <c r="P193" s="44"/>
      <c r="Q193" s="42"/>
      <c r="R193" s="30">
        <f>Tabla13468152331414957657381899710511312112913714515313716116917718519316116917720120921722523324124925726527328128929730531332132933734335135936737538315233139[[#This Row],[VENTA LUNES]]+Tabla13468152331414957657381899710511312112913714515313716116917718519316116917720120921722523324124925726527328128929730531332132933734335135936737538315233139[[#This Row],[VENTA MARTES]]+Tabla13468152331414957657381899710511312112913714515313716116917718519316116917720120921722523324124925726527328128929730531332132933734335135936737538315233139[[#This Row],[VENTA MIERCOLES]]+Tabla13468152331414957657381899710511312112913714515313716116917718519316116917720120921722523324124925726527328128929730531332132933734335135936737538315233139[[#This Row],[VENTA JUEVES]]+Tabla13468152331414957657381899710511312112913714515313716116917718519316116917720120921722523324124925726527328128929730531332132933734335135936737538315233139[[#This Row],[VENTA VIERNES]]+Tabla13468152331414957657381899710511312112913714515313716116917718519316116917720120921722523324124925726527328128929730531332132933734335135936737538315233139[[#This Row],[VENTA SABADO]]</f>
        <v>0</v>
      </c>
    </row>
    <row r="195" spans="2:18" s="54" customFormat="1" ht="38.25" x14ac:dyDescent="0.2">
      <c r="B195" s="17" t="s">
        <v>370</v>
      </c>
      <c r="C195" s="17" t="s">
        <v>5</v>
      </c>
      <c r="D195" s="17" t="s">
        <v>6</v>
      </c>
      <c r="E195" s="17" t="s">
        <v>7</v>
      </c>
      <c r="F195" s="17" t="s">
        <v>8</v>
      </c>
      <c r="G195" s="17" t="s">
        <v>51</v>
      </c>
      <c r="H195" s="17" t="s">
        <v>10</v>
      </c>
      <c r="I195" s="17" t="s">
        <v>11</v>
      </c>
      <c r="J195" s="17" t="s">
        <v>12</v>
      </c>
      <c r="K195" s="17" t="s">
        <v>13</v>
      </c>
      <c r="L195" s="17" t="s">
        <v>14</v>
      </c>
      <c r="M195" s="17" t="s">
        <v>15</v>
      </c>
      <c r="N195" s="17" t="s">
        <v>16</v>
      </c>
      <c r="O195" s="17" t="s">
        <v>371</v>
      </c>
      <c r="P195" s="17" t="s">
        <v>372</v>
      </c>
      <c r="Q195" s="17" t="s">
        <v>373</v>
      </c>
      <c r="R195" s="17" t="s">
        <v>20</v>
      </c>
    </row>
    <row r="196" spans="2:18" x14ac:dyDescent="0.2">
      <c r="B196" s="22" t="s">
        <v>374</v>
      </c>
      <c r="C196" s="23" t="s">
        <v>375</v>
      </c>
      <c r="D196" s="24">
        <f>Tabla1346891624324250586674829098106114122130138146154138162170178186194162170178202210218226234242250258266274282290298306314322330338344352360368376384162432[[#This Row],[STOCK]]</f>
        <v>0</v>
      </c>
      <c r="E196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196" s="23"/>
      <c r="G196" s="24"/>
      <c r="H196" s="39"/>
      <c r="I196" s="40"/>
      <c r="J196" s="41"/>
      <c r="K196" s="39"/>
      <c r="L196" s="40"/>
      <c r="M196" s="41"/>
      <c r="N196" s="39"/>
      <c r="O196" s="40"/>
      <c r="P196" s="41"/>
      <c r="Q196" s="39"/>
      <c r="R196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197" spans="2:18" x14ac:dyDescent="0.2">
      <c r="B197" s="29" t="s">
        <v>376</v>
      </c>
      <c r="C197" s="30" t="s">
        <v>377</v>
      </c>
      <c r="D197" s="31">
        <f>Tabla1346891624324250586674829098106114122130138146154138162170178186194162170178202210218226234242250258266274282290298306314322330338344352360368376384162432[[#This Row],[STOCK]]</f>
        <v>58</v>
      </c>
      <c r="E197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58</v>
      </c>
      <c r="F197" s="30"/>
      <c r="G197" s="31"/>
      <c r="H197" s="42"/>
      <c r="I197" s="43"/>
      <c r="J197" s="44"/>
      <c r="K197" s="42"/>
      <c r="L197" s="43"/>
      <c r="M197" s="44"/>
      <c r="N197" s="42"/>
      <c r="O197" s="43"/>
      <c r="P197" s="44"/>
      <c r="Q197" s="42"/>
      <c r="R197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198" spans="2:18" x14ac:dyDescent="0.2">
      <c r="B198" s="22" t="s">
        <v>378</v>
      </c>
      <c r="C198" s="23" t="s">
        <v>379</v>
      </c>
      <c r="D198" s="24">
        <f>Tabla1346891624324250586674829098106114122130138146154138162170178186194162170178202210218226234242250258266274282290298306314322330338344352360368376384162432[[#This Row],[STOCK]]</f>
        <v>0</v>
      </c>
      <c r="E198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45</v>
      </c>
      <c r="F198" s="23">
        <v>44</v>
      </c>
      <c r="G198" s="24">
        <v>30</v>
      </c>
      <c r="H198" s="39"/>
      <c r="I198" s="40"/>
      <c r="J198" s="41">
        <v>31</v>
      </c>
      <c r="K198" s="39"/>
      <c r="L198" s="40"/>
      <c r="M198" s="41"/>
      <c r="N198" s="39"/>
      <c r="O198" s="40"/>
      <c r="P198" s="41"/>
      <c r="Q198" s="39"/>
      <c r="R198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30</v>
      </c>
    </row>
    <row r="199" spans="2:18" x14ac:dyDescent="0.2">
      <c r="B199" s="29" t="s">
        <v>380</v>
      </c>
      <c r="C199" s="30" t="s">
        <v>381</v>
      </c>
      <c r="D199" s="31">
        <f>Tabla1346891624324250586674829098106114122130138146154138162170178186194162170178202210218226234242250258266274282290298306314322330338344352360368376384162432[[#This Row],[STOCK]]</f>
        <v>137</v>
      </c>
      <c r="E199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130</v>
      </c>
      <c r="F199" s="30"/>
      <c r="G199" s="31">
        <v>3</v>
      </c>
      <c r="H199" s="42"/>
      <c r="I199" s="43">
        <v>4</v>
      </c>
      <c r="J199" s="44"/>
      <c r="K199" s="42"/>
      <c r="L199" s="43"/>
      <c r="M199" s="44"/>
      <c r="N199" s="42"/>
      <c r="O199" s="43"/>
      <c r="P199" s="44"/>
      <c r="Q199" s="42"/>
      <c r="R199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7</v>
      </c>
    </row>
    <row r="200" spans="2:18" x14ac:dyDescent="0.2">
      <c r="B200" s="22" t="s">
        <v>382</v>
      </c>
      <c r="C200" s="23" t="s">
        <v>383</v>
      </c>
      <c r="D200" s="24">
        <f>Tabla1346891624324250586674829098106114122130138146154138162170178186194162170178202210218226234242250258266274282290298306314322330338344352360368376384162432[[#This Row],[STOCK]]</f>
        <v>0</v>
      </c>
      <c r="E200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14</v>
      </c>
      <c r="F200" s="23">
        <v>9</v>
      </c>
      <c r="G200" s="24">
        <v>3</v>
      </c>
      <c r="H200" s="39">
        <v>12</v>
      </c>
      <c r="I200" s="40">
        <v>4</v>
      </c>
      <c r="J200" s="41"/>
      <c r="K200" s="39"/>
      <c r="L200" s="40"/>
      <c r="M200" s="41"/>
      <c r="N200" s="39"/>
      <c r="O200" s="40"/>
      <c r="P200" s="41"/>
      <c r="Q200" s="39"/>
      <c r="R200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7</v>
      </c>
    </row>
    <row r="201" spans="2:18" x14ac:dyDescent="0.2">
      <c r="B201" s="29" t="s">
        <v>384</v>
      </c>
      <c r="C201" s="30" t="s">
        <v>385</v>
      </c>
      <c r="D201" s="31">
        <f>Tabla1346891624324250586674829098106114122130138146154138162170178186194162170178202210218226234242250258266274282290298306314322330338344352360368376384162432[[#This Row],[STOCK]]</f>
        <v>0</v>
      </c>
      <c r="E201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01" s="30"/>
      <c r="G201" s="31"/>
      <c r="H201" s="42"/>
      <c r="I201" s="43"/>
      <c r="J201" s="44"/>
      <c r="K201" s="42"/>
      <c r="L201" s="43"/>
      <c r="M201" s="44"/>
      <c r="N201" s="42"/>
      <c r="O201" s="43"/>
      <c r="P201" s="44"/>
      <c r="Q201" s="42"/>
      <c r="R201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02" spans="2:18" x14ac:dyDescent="0.2">
      <c r="B202" s="22" t="s">
        <v>386</v>
      </c>
      <c r="C202" s="23" t="s">
        <v>387</v>
      </c>
      <c r="D202" s="24">
        <f>Tabla1346891624324250586674829098106114122130138146154138162170178186194162170178202210218226234242250258266274282290298306314322330338344352360368376384162432[[#This Row],[STOCK]]</f>
        <v>242</v>
      </c>
      <c r="E202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242</v>
      </c>
      <c r="F202" s="23"/>
      <c r="G202" s="24"/>
      <c r="H202" s="39"/>
      <c r="I202" s="40"/>
      <c r="J202" s="41"/>
      <c r="K202" s="39"/>
      <c r="L202" s="40"/>
      <c r="M202" s="41"/>
      <c r="N202" s="39"/>
      <c r="O202" s="40"/>
      <c r="P202" s="41"/>
      <c r="Q202" s="39"/>
      <c r="R202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03" spans="2:18" x14ac:dyDescent="0.2">
      <c r="B203" s="29" t="s">
        <v>388</v>
      </c>
      <c r="C203" s="30" t="s">
        <v>389</v>
      </c>
      <c r="D203" s="31">
        <f>Tabla1346891624324250586674829098106114122130138146154138162170178186194162170178202210218226234242250258266274282290298306314322330338344352360368376384162432[[#This Row],[STOCK]]</f>
        <v>24</v>
      </c>
      <c r="E203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24</v>
      </c>
      <c r="F203" s="30"/>
      <c r="G203" s="31"/>
      <c r="H203" s="42"/>
      <c r="I203" s="43"/>
      <c r="J203" s="44"/>
      <c r="K203" s="42"/>
      <c r="L203" s="43"/>
      <c r="M203" s="44"/>
      <c r="N203" s="42"/>
      <c r="O203" s="43"/>
      <c r="P203" s="44"/>
      <c r="Q203" s="42"/>
      <c r="R203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04" spans="2:18" x14ac:dyDescent="0.2">
      <c r="B204" s="22" t="s">
        <v>390</v>
      </c>
      <c r="C204" s="23" t="s">
        <v>391</v>
      </c>
      <c r="D204" s="24">
        <f>Tabla1346891624324250586674829098106114122130138146154138162170178186194162170178202210218226234242250258266274282290298306314322330338344352360368376384162432[[#This Row],[STOCK]]</f>
        <v>0</v>
      </c>
      <c r="E204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04" s="23"/>
      <c r="G204" s="24"/>
      <c r="H204" s="39"/>
      <c r="I204" s="40"/>
      <c r="J204" s="41"/>
      <c r="K204" s="39"/>
      <c r="L204" s="40"/>
      <c r="M204" s="41"/>
      <c r="N204" s="39"/>
      <c r="O204" s="40"/>
      <c r="P204" s="41"/>
      <c r="Q204" s="39"/>
      <c r="R204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05" spans="2:18" x14ac:dyDescent="0.2">
      <c r="B205" s="29" t="s">
        <v>392</v>
      </c>
      <c r="C205" s="30" t="s">
        <v>393</v>
      </c>
      <c r="D205" s="31">
        <f>Tabla1346891624324250586674829098106114122130138146154138162170178186194162170178202210218226234242250258266274282290298306314322330338344352360368376384162432[[#This Row],[STOCK]]</f>
        <v>98</v>
      </c>
      <c r="E205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97</v>
      </c>
      <c r="F205" s="30"/>
      <c r="G205" s="31">
        <v>1</v>
      </c>
      <c r="H205" s="42"/>
      <c r="I205" s="43"/>
      <c r="J205" s="44"/>
      <c r="K205" s="42"/>
      <c r="L205" s="43"/>
      <c r="M205" s="44"/>
      <c r="N205" s="42"/>
      <c r="O205" s="43"/>
      <c r="P205" s="44"/>
      <c r="Q205" s="42"/>
      <c r="R205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1</v>
      </c>
    </row>
    <row r="206" spans="2:18" x14ac:dyDescent="0.2">
      <c r="B206" s="22" t="s">
        <v>394</v>
      </c>
      <c r="C206" s="23" t="s">
        <v>395</v>
      </c>
      <c r="D206" s="24">
        <f>Tabla1346891624324250586674829098106114122130138146154138162170178186194162170178202210218226234242250258266274282290298306314322330338344352360368376384162432[[#This Row],[STOCK]]</f>
        <v>7</v>
      </c>
      <c r="E206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24</v>
      </c>
      <c r="F206" s="23">
        <v>37</v>
      </c>
      <c r="G206" s="24">
        <v>33</v>
      </c>
      <c r="H206" s="39">
        <v>22</v>
      </c>
      <c r="I206" s="40">
        <v>30</v>
      </c>
      <c r="J206" s="41">
        <v>36</v>
      </c>
      <c r="K206" s="39">
        <v>15</v>
      </c>
      <c r="L206" s="40"/>
      <c r="M206" s="41"/>
      <c r="N206" s="39"/>
      <c r="O206" s="40"/>
      <c r="P206" s="41"/>
      <c r="Q206" s="39"/>
      <c r="R206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78</v>
      </c>
    </row>
    <row r="207" spans="2:18" x14ac:dyDescent="0.2">
      <c r="B207" s="29" t="s">
        <v>396</v>
      </c>
      <c r="C207" s="30" t="s">
        <v>397</v>
      </c>
      <c r="D207" s="31">
        <f>Tabla1346891624324250586674829098106114122130138146154138162170178186194162170178202210218226234242250258266274282290298306314322330338344352360368376384162432[[#This Row],[STOCK]]</f>
        <v>12</v>
      </c>
      <c r="E207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12</v>
      </c>
      <c r="F207" s="30"/>
      <c r="G207" s="31"/>
      <c r="H207" s="42"/>
      <c r="I207" s="43"/>
      <c r="J207" s="44"/>
      <c r="K207" s="42"/>
      <c r="L207" s="43"/>
      <c r="M207" s="44"/>
      <c r="N207" s="42"/>
      <c r="O207" s="43"/>
      <c r="P207" s="44"/>
      <c r="Q207" s="42"/>
      <c r="R207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08" spans="2:18" x14ac:dyDescent="0.2">
      <c r="B208" s="22" t="s">
        <v>398</v>
      </c>
      <c r="C208" s="23" t="s">
        <v>399</v>
      </c>
      <c r="D208" s="24">
        <f>Tabla1346891624324250586674829098106114122130138146154138162170178186194162170178202210218226234242250258266274282290298306314322330338344352360368376384162432[[#This Row],[STOCK]]</f>
        <v>0</v>
      </c>
      <c r="E208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39</v>
      </c>
      <c r="F208" s="23"/>
      <c r="G208" s="24"/>
      <c r="H208" s="39">
        <v>12</v>
      </c>
      <c r="I208" s="40">
        <v>1</v>
      </c>
      <c r="J208" s="41">
        <v>58</v>
      </c>
      <c r="K208" s="39">
        <v>30</v>
      </c>
      <c r="L208" s="40"/>
      <c r="M208" s="41"/>
      <c r="N208" s="39"/>
      <c r="O208" s="40"/>
      <c r="P208" s="41"/>
      <c r="Q208" s="39"/>
      <c r="R208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31</v>
      </c>
    </row>
    <row r="209" spans="2:18" x14ac:dyDescent="0.2">
      <c r="B209" s="29" t="s">
        <v>400</v>
      </c>
      <c r="C209" s="30" t="s">
        <v>401</v>
      </c>
      <c r="D209" s="31">
        <f>Tabla1346891624324250586674829098106114122130138146154138162170178186194162170178202210218226234242250258266274282290298306314322330338344352360368376384162432[[#This Row],[STOCK]]</f>
        <v>58</v>
      </c>
      <c r="E209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37</v>
      </c>
      <c r="F209" s="30"/>
      <c r="G209" s="31"/>
      <c r="H209" s="42"/>
      <c r="I209" s="43">
        <v>11</v>
      </c>
      <c r="J209" s="44"/>
      <c r="K209" s="42">
        <v>10</v>
      </c>
      <c r="L209" s="43"/>
      <c r="M209" s="44"/>
      <c r="N209" s="42"/>
      <c r="O209" s="43"/>
      <c r="P209" s="44"/>
      <c r="Q209" s="42"/>
      <c r="R209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21</v>
      </c>
    </row>
    <row r="210" spans="2:18" x14ac:dyDescent="0.2">
      <c r="B210" s="22" t="s">
        <v>402</v>
      </c>
      <c r="C210" s="23" t="s">
        <v>403</v>
      </c>
      <c r="D210" s="24">
        <f>Tabla1346891624324250586674829098106114122130138146154138162170178186194162170178202210218226234242250258266274282290298306314322330338344352360368376384162432[[#This Row],[STOCK]]</f>
        <v>0</v>
      </c>
      <c r="E210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18</v>
      </c>
      <c r="F210" s="23">
        <v>5</v>
      </c>
      <c r="G210" s="24">
        <v>5</v>
      </c>
      <c r="H210" s="39">
        <v>2</v>
      </c>
      <c r="I210" s="40">
        <v>1</v>
      </c>
      <c r="J210" s="41">
        <v>17</v>
      </c>
      <c r="K210" s="39"/>
      <c r="L210" s="40"/>
      <c r="M210" s="41"/>
      <c r="N210" s="39"/>
      <c r="O210" s="40"/>
      <c r="P210" s="41"/>
      <c r="Q210" s="39"/>
      <c r="R210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6</v>
      </c>
    </row>
    <row r="211" spans="2:18" x14ac:dyDescent="0.2">
      <c r="B211" s="29" t="s">
        <v>404</v>
      </c>
      <c r="C211" s="30" t="s">
        <v>405</v>
      </c>
      <c r="D211" s="31">
        <f>Tabla1346891624324250586674829098106114122130138146154138162170178186194162170178202210218226234242250258266274282290298306314322330338344352360368376384162432[[#This Row],[STOCK]]</f>
        <v>0</v>
      </c>
      <c r="E211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11" s="30"/>
      <c r="G211" s="31"/>
      <c r="H211" s="42"/>
      <c r="I211" s="43"/>
      <c r="J211" s="44"/>
      <c r="K211" s="42"/>
      <c r="L211" s="43"/>
      <c r="M211" s="44"/>
      <c r="N211" s="42"/>
      <c r="O211" s="43"/>
      <c r="P211" s="44"/>
      <c r="Q211" s="42"/>
      <c r="R211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12" spans="2:18" x14ac:dyDescent="0.2">
      <c r="B212" s="22" t="s">
        <v>406</v>
      </c>
      <c r="C212" s="23" t="s">
        <v>407</v>
      </c>
      <c r="D212" s="24">
        <f>Tabla1346891624324250586674829098106114122130138146154138162170178186194162170178202210218226234242250258266274282290298306314322330338344352360368376384162432[[#This Row],[STOCK]]</f>
        <v>237</v>
      </c>
      <c r="E212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235</v>
      </c>
      <c r="F212" s="23"/>
      <c r="G212" s="24">
        <v>2</v>
      </c>
      <c r="H212" s="39"/>
      <c r="I212" s="40"/>
      <c r="J212" s="41"/>
      <c r="K212" s="39"/>
      <c r="L212" s="40"/>
      <c r="M212" s="41"/>
      <c r="N212" s="39"/>
      <c r="O212" s="40"/>
      <c r="P212" s="41"/>
      <c r="Q212" s="39"/>
      <c r="R212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2</v>
      </c>
    </row>
    <row r="213" spans="2:18" x14ac:dyDescent="0.2">
      <c r="B213" s="29" t="s">
        <v>408</v>
      </c>
      <c r="C213" s="30" t="s">
        <v>409</v>
      </c>
      <c r="D213" s="31">
        <f>Tabla1346891624324250586674829098106114122130138146154138162170178186194162170178202210218226234242250258266274282290298306314322330338344352360368376384162432[[#This Row],[STOCK]]</f>
        <v>28</v>
      </c>
      <c r="E213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50</v>
      </c>
      <c r="F213" s="30">
        <v>7</v>
      </c>
      <c r="G213" s="31">
        <v>5</v>
      </c>
      <c r="H213" s="42">
        <v>7</v>
      </c>
      <c r="I213" s="43">
        <v>4</v>
      </c>
      <c r="J213" s="44">
        <v>17</v>
      </c>
      <c r="K213" s="42"/>
      <c r="L213" s="43"/>
      <c r="M213" s="44"/>
      <c r="N213" s="42"/>
      <c r="O213" s="43"/>
      <c r="P213" s="44"/>
      <c r="Q213" s="42"/>
      <c r="R213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9</v>
      </c>
    </row>
    <row r="214" spans="2:18" s="65" customFormat="1" x14ac:dyDescent="0.2">
      <c r="B214" s="58" t="s">
        <v>410</v>
      </c>
      <c r="C214" s="59" t="s">
        <v>411</v>
      </c>
      <c r="D214" s="60">
        <f>Tabla1346891624324250586674829098106114122130138146154138162170178186194162170178202210218226234242250258266274282290298306314322330338344352360368376384162432[[#This Row],[STOCK]]</f>
        <v>57</v>
      </c>
      <c r="E214" s="61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129</v>
      </c>
      <c r="F214" s="59">
        <v>67</v>
      </c>
      <c r="G214" s="60">
        <v>58</v>
      </c>
      <c r="H214" s="62">
        <v>60</v>
      </c>
      <c r="I214" s="63">
        <v>33</v>
      </c>
      <c r="J214" s="64">
        <v>36</v>
      </c>
      <c r="K214" s="62"/>
      <c r="L214" s="63"/>
      <c r="M214" s="64"/>
      <c r="N214" s="62"/>
      <c r="O214" s="63"/>
      <c r="P214" s="64"/>
      <c r="Q214" s="62"/>
      <c r="R214" s="59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91</v>
      </c>
    </row>
    <row r="215" spans="2:18" ht="13.5" customHeight="1" x14ac:dyDescent="0.2">
      <c r="B215" s="29" t="s">
        <v>412</v>
      </c>
      <c r="C215" s="30" t="s">
        <v>413</v>
      </c>
      <c r="D215" s="31">
        <f>Tabla1346891624324250586674829098106114122130138146154138162170178186194162170178202210218226234242250258266274282290298306314322330338344352360368376384162432[[#This Row],[STOCK]]</f>
        <v>0</v>
      </c>
      <c r="E215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15" s="30"/>
      <c r="G215" s="31"/>
      <c r="H215" s="42"/>
      <c r="I215" s="43"/>
      <c r="J215" s="44"/>
      <c r="K215" s="42"/>
      <c r="L215" s="43"/>
      <c r="M215" s="44"/>
      <c r="N215" s="42"/>
      <c r="O215" s="43"/>
      <c r="P215" s="44"/>
      <c r="Q215" s="42"/>
      <c r="R215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16" spans="2:18" x14ac:dyDescent="0.2">
      <c r="B216" s="22" t="s">
        <v>414</v>
      </c>
      <c r="C216" s="23" t="s">
        <v>415</v>
      </c>
      <c r="D216" s="24">
        <f>Tabla1346891624324250586674829098106114122130138146154138162170178186194162170178202210218226234242250258266274282290298306314322330338344352360368376384162432[[#This Row],[STOCK]]</f>
        <v>11</v>
      </c>
      <c r="E216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10</v>
      </c>
      <c r="F216" s="23">
        <v>5</v>
      </c>
      <c r="G216" s="24">
        <v>10</v>
      </c>
      <c r="H216" s="39"/>
      <c r="I216" s="40">
        <v>2</v>
      </c>
      <c r="J216" s="41">
        <v>6</v>
      </c>
      <c r="K216" s="39"/>
      <c r="L216" s="40"/>
      <c r="M216" s="41"/>
      <c r="N216" s="39"/>
      <c r="O216" s="40"/>
      <c r="P216" s="41"/>
      <c r="Q216" s="39"/>
      <c r="R216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12</v>
      </c>
    </row>
    <row r="217" spans="2:18" x14ac:dyDescent="0.2">
      <c r="B217" s="29" t="s">
        <v>416</v>
      </c>
      <c r="C217" s="30" t="s">
        <v>417</v>
      </c>
      <c r="D217" s="31">
        <f>Tabla1346891624324250586674829098106114122130138146154138162170178186194162170178202210218226234242250258266274282290298306314322330338344352360368376384162432[[#This Row],[STOCK]]</f>
        <v>2</v>
      </c>
      <c r="E217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20</v>
      </c>
      <c r="F217" s="30">
        <v>3</v>
      </c>
      <c r="G217" s="31"/>
      <c r="H217" s="42">
        <v>5</v>
      </c>
      <c r="I217" s="43"/>
      <c r="J217" s="44">
        <v>10</v>
      </c>
      <c r="K217" s="42"/>
      <c r="L217" s="43"/>
      <c r="M217" s="44"/>
      <c r="N217" s="42"/>
      <c r="O217" s="43"/>
      <c r="P217" s="44"/>
      <c r="Q217" s="42"/>
      <c r="R217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18" spans="2:18" ht="13.5" customHeight="1" x14ac:dyDescent="0.2">
      <c r="B218" s="22" t="s">
        <v>418</v>
      </c>
      <c r="C218" s="23" t="s">
        <v>419</v>
      </c>
      <c r="D218" s="24">
        <f>Tabla1346891624324250586674829098106114122130138146154138162170178186194162170178202210218226234242250258266274282290298306314322330338344352360368376384162432[[#This Row],[STOCK]]</f>
        <v>10</v>
      </c>
      <c r="E218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24</v>
      </c>
      <c r="F218" s="23"/>
      <c r="G218" s="24"/>
      <c r="H218" s="39"/>
      <c r="I218" s="40"/>
      <c r="J218" s="41">
        <v>14</v>
      </c>
      <c r="K218" s="39"/>
      <c r="L218" s="40"/>
      <c r="M218" s="41"/>
      <c r="N218" s="39"/>
      <c r="O218" s="40"/>
      <c r="P218" s="41"/>
      <c r="Q218" s="39"/>
      <c r="R218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19" spans="2:18" ht="12" customHeight="1" x14ac:dyDescent="0.2">
      <c r="B219" s="29" t="s">
        <v>420</v>
      </c>
      <c r="C219" s="30" t="s">
        <v>421</v>
      </c>
      <c r="D219" s="31">
        <f>Tabla1346891624324250586674829098106114122130138146154138162170178186194162170178202210218226234242250258266274282290298306314322330338344352360368376384162432[[#This Row],[STOCK]]</f>
        <v>0</v>
      </c>
      <c r="E219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6</v>
      </c>
      <c r="F219" s="30">
        <v>2</v>
      </c>
      <c r="G219" s="31">
        <v>2</v>
      </c>
      <c r="H219" s="42"/>
      <c r="I219" s="43"/>
      <c r="J219" s="44">
        <v>36</v>
      </c>
      <c r="K219" s="42">
        <v>30</v>
      </c>
      <c r="L219" s="43"/>
      <c r="M219" s="44"/>
      <c r="N219" s="42"/>
      <c r="O219" s="43"/>
      <c r="P219" s="44"/>
      <c r="Q219" s="42"/>
      <c r="R219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32</v>
      </c>
    </row>
    <row r="220" spans="2:18" ht="13.5" customHeight="1" x14ac:dyDescent="0.2">
      <c r="B220" s="22" t="s">
        <v>422</v>
      </c>
      <c r="C220" s="23" t="s">
        <v>423</v>
      </c>
      <c r="D220" s="24">
        <f>Tabla1346891624324250586674829098106114122130138146154138162170178186194162170178202210218226234242250258266274282290298306314322330338344352360368376384162432[[#This Row],[STOCK]]</f>
        <v>0</v>
      </c>
      <c r="E220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26</v>
      </c>
      <c r="F220" s="23"/>
      <c r="G220" s="24"/>
      <c r="H220" s="39"/>
      <c r="I220" s="40"/>
      <c r="J220" s="41">
        <v>36</v>
      </c>
      <c r="K220" s="39">
        <v>10</v>
      </c>
      <c r="L220" s="40"/>
      <c r="M220" s="41"/>
      <c r="N220" s="39"/>
      <c r="O220" s="40"/>
      <c r="P220" s="41"/>
      <c r="Q220" s="39"/>
      <c r="R220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10</v>
      </c>
    </row>
    <row r="221" spans="2:18" x14ac:dyDescent="0.2">
      <c r="B221" s="29" t="s">
        <v>424</v>
      </c>
      <c r="C221" s="30" t="s">
        <v>425</v>
      </c>
      <c r="D221" s="31">
        <f>Tabla1346891624324250586674829098106114122130138146154138162170178186194162170178202210218226234242250258266274282290298306314322330338344352360368376384162432[[#This Row],[STOCK]]</f>
        <v>0</v>
      </c>
      <c r="E221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21" s="30"/>
      <c r="G221" s="31"/>
      <c r="H221" s="42"/>
      <c r="I221" s="43"/>
      <c r="J221" s="44"/>
      <c r="K221" s="42"/>
      <c r="L221" s="43"/>
      <c r="M221" s="44"/>
      <c r="N221" s="42"/>
      <c r="O221" s="43"/>
      <c r="P221" s="44"/>
      <c r="Q221" s="42"/>
      <c r="R221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22" spans="2:18" x14ac:dyDescent="0.2">
      <c r="B222" s="22" t="s">
        <v>426</v>
      </c>
      <c r="C222" s="23" t="s">
        <v>427</v>
      </c>
      <c r="D222" s="24">
        <f>Tabla1346891624324250586674829098106114122130138146154138162170178186194162170178202210218226234242250258266274282290298306314322330338344352360368376384162432[[#This Row],[STOCK]]</f>
        <v>24</v>
      </c>
      <c r="E222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19</v>
      </c>
      <c r="F222" s="23"/>
      <c r="G222" s="24"/>
      <c r="H222" s="39"/>
      <c r="I222" s="40"/>
      <c r="J222" s="41"/>
      <c r="K222" s="39">
        <v>5</v>
      </c>
      <c r="L222" s="40"/>
      <c r="M222" s="41"/>
      <c r="N222" s="39"/>
      <c r="O222" s="40"/>
      <c r="P222" s="41"/>
      <c r="Q222" s="39"/>
      <c r="R222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5</v>
      </c>
    </row>
    <row r="223" spans="2:18" x14ac:dyDescent="0.2">
      <c r="B223" s="29" t="s">
        <v>428</v>
      </c>
      <c r="C223" s="30" t="s">
        <v>429</v>
      </c>
      <c r="D223" s="31">
        <f>Tabla1346891624324250586674829098106114122130138146154138162170178186194162170178202210218226234242250258266274282290298306314322330338344352360368376384162432[[#This Row],[STOCK]]</f>
        <v>0</v>
      </c>
      <c r="E223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23" s="30"/>
      <c r="G223" s="31"/>
      <c r="H223" s="42"/>
      <c r="I223" s="43"/>
      <c r="J223" s="44"/>
      <c r="K223" s="42"/>
      <c r="L223" s="43"/>
      <c r="M223" s="44"/>
      <c r="N223" s="42"/>
      <c r="O223" s="43"/>
      <c r="P223" s="44"/>
      <c r="Q223" s="42"/>
      <c r="R223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24" spans="2:18" x14ac:dyDescent="0.2">
      <c r="B224" s="22" t="s">
        <v>430</v>
      </c>
      <c r="C224" s="23" t="s">
        <v>431</v>
      </c>
      <c r="D224" s="24">
        <f>Tabla1346891624324250586674829098106114122130138146154138162170178186194162170178202210218226234242250258266274282290298306314322330338344352360368376384162432[[#This Row],[STOCK]]</f>
        <v>27</v>
      </c>
      <c r="E224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26</v>
      </c>
      <c r="F224" s="23"/>
      <c r="G224" s="24">
        <v>1</v>
      </c>
      <c r="H224" s="39"/>
      <c r="I224" s="40"/>
      <c r="J224" s="41"/>
      <c r="K224" s="39"/>
      <c r="L224" s="40"/>
      <c r="M224" s="41"/>
      <c r="N224" s="39"/>
      <c r="O224" s="40"/>
      <c r="P224" s="41"/>
      <c r="Q224" s="39"/>
      <c r="R224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1</v>
      </c>
    </row>
    <row r="225" spans="2:18" x14ac:dyDescent="0.2">
      <c r="B225" s="29" t="s">
        <v>432</v>
      </c>
      <c r="C225" s="30" t="s">
        <v>433</v>
      </c>
      <c r="D225" s="31">
        <f>Tabla1346891624324250586674829098106114122130138146154138162170178186194162170178202210218226234242250258266274282290298306314322330338344352360368376384162432[[#This Row],[STOCK]]</f>
        <v>108</v>
      </c>
      <c r="E225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105</v>
      </c>
      <c r="F225" s="30"/>
      <c r="G225" s="31">
        <v>3</v>
      </c>
      <c r="H225" s="42"/>
      <c r="I225" s="43"/>
      <c r="J225" s="44"/>
      <c r="K225" s="42"/>
      <c r="L225" s="43"/>
      <c r="M225" s="44"/>
      <c r="N225" s="42"/>
      <c r="O225" s="43"/>
      <c r="P225" s="44"/>
      <c r="Q225" s="42"/>
      <c r="R225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3</v>
      </c>
    </row>
    <row r="226" spans="2:18" x14ac:dyDescent="0.2">
      <c r="B226" s="22" t="s">
        <v>434</v>
      </c>
      <c r="C226" s="23" t="s">
        <v>435</v>
      </c>
      <c r="D226" s="24">
        <f>Tabla1346891624324250586674829098106114122130138146154138162170178186194162170178202210218226234242250258266274282290298306314322330338344352360368376384162432[[#This Row],[STOCK]]</f>
        <v>124</v>
      </c>
      <c r="E226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111</v>
      </c>
      <c r="F226" s="23"/>
      <c r="G226" s="24">
        <v>3</v>
      </c>
      <c r="H226" s="39"/>
      <c r="I226" s="40">
        <v>10</v>
      </c>
      <c r="J226" s="41"/>
      <c r="K226" s="39"/>
      <c r="L226" s="40"/>
      <c r="M226" s="41"/>
      <c r="N226" s="39"/>
      <c r="O226" s="40"/>
      <c r="P226" s="41"/>
      <c r="Q226" s="39"/>
      <c r="R226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13</v>
      </c>
    </row>
    <row r="227" spans="2:18" x14ac:dyDescent="0.2">
      <c r="B227" s="29" t="s">
        <v>436</v>
      </c>
      <c r="C227" s="30" t="s">
        <v>437</v>
      </c>
      <c r="D227" s="31">
        <f>Tabla1346891624324250586674829098106114122130138146154138162170178186194162170178202210218226234242250258266274282290298306314322330338344352360368376384162432[[#This Row],[STOCK]]</f>
        <v>20</v>
      </c>
      <c r="E227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21</v>
      </c>
      <c r="F227" s="30">
        <v>10</v>
      </c>
      <c r="G227" s="31">
        <v>3</v>
      </c>
      <c r="H227" s="42"/>
      <c r="I227" s="43">
        <v>6</v>
      </c>
      <c r="J227" s="44"/>
      <c r="K227" s="42"/>
      <c r="L227" s="43"/>
      <c r="M227" s="44"/>
      <c r="N227" s="42"/>
      <c r="O227" s="43"/>
      <c r="P227" s="44"/>
      <c r="Q227" s="42"/>
      <c r="R227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9</v>
      </c>
    </row>
    <row r="228" spans="2:18" x14ac:dyDescent="0.2">
      <c r="B228" s="22" t="s">
        <v>438</v>
      </c>
      <c r="C228" s="23" t="s">
        <v>439</v>
      </c>
      <c r="D228" s="24">
        <f>Tabla1346891624324250586674829098106114122130138146154138162170178186194162170178202210218226234242250258266274282290298306314322330338344352360368376384162432[[#This Row],[STOCK]]</f>
        <v>0</v>
      </c>
      <c r="E228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28" s="23"/>
      <c r="G228" s="24"/>
      <c r="H228" s="39"/>
      <c r="I228" s="40"/>
      <c r="J228" s="41"/>
      <c r="K228" s="39"/>
      <c r="L228" s="40"/>
      <c r="M228" s="41"/>
      <c r="N228" s="39"/>
      <c r="O228" s="40"/>
      <c r="P228" s="41"/>
      <c r="Q228" s="39"/>
      <c r="R228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29" spans="2:18" x14ac:dyDescent="0.2">
      <c r="B229" s="29" t="s">
        <v>440</v>
      </c>
      <c r="C229" s="30" t="s">
        <v>441</v>
      </c>
      <c r="D229" s="31">
        <f>Tabla1346891624324250586674829098106114122130138146154138162170178186194162170178202210218226234242250258266274282290298306314322330338344352360368376384162432[[#This Row],[STOCK]]</f>
        <v>0</v>
      </c>
      <c r="E229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29" s="30"/>
      <c r="G229" s="31"/>
      <c r="H229" s="42"/>
      <c r="I229" s="43"/>
      <c r="J229" s="44"/>
      <c r="K229" s="42"/>
      <c r="L229" s="43"/>
      <c r="M229" s="44"/>
      <c r="N229" s="42"/>
      <c r="O229" s="43"/>
      <c r="P229" s="44"/>
      <c r="Q229" s="42"/>
      <c r="R229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30" spans="2:18" x14ac:dyDescent="0.2">
      <c r="B230" s="22" t="s">
        <v>442</v>
      </c>
      <c r="C230" s="23" t="s">
        <v>443</v>
      </c>
      <c r="D230" s="24">
        <f>Tabla1346891624324250586674829098106114122130138146154138162170178186194162170178202210218226234242250258266274282290298306314322330338344352360368376384162432[[#This Row],[STOCK]]</f>
        <v>0</v>
      </c>
      <c r="E230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30" s="23"/>
      <c r="G230" s="24"/>
      <c r="H230" s="39"/>
      <c r="I230" s="40"/>
      <c r="J230" s="41"/>
      <c r="K230" s="39"/>
      <c r="L230" s="40"/>
      <c r="M230" s="41"/>
      <c r="N230" s="39"/>
      <c r="O230" s="40"/>
      <c r="P230" s="41"/>
      <c r="Q230" s="39"/>
      <c r="R230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31" spans="2:18" x14ac:dyDescent="0.2">
      <c r="B231" s="29" t="s">
        <v>444</v>
      </c>
      <c r="C231" s="30" t="s">
        <v>445</v>
      </c>
      <c r="D231" s="31">
        <f>Tabla1346891624324250586674829098106114122130138146154138162170178186194162170178202210218226234242250258266274282290298306314322330338344352360368376384162432[[#This Row],[STOCK]]</f>
        <v>0</v>
      </c>
      <c r="E231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31" s="30"/>
      <c r="G231" s="31"/>
      <c r="H231" s="42"/>
      <c r="I231" s="43"/>
      <c r="J231" s="44"/>
      <c r="K231" s="42"/>
      <c r="L231" s="43"/>
      <c r="M231" s="44"/>
      <c r="N231" s="42"/>
      <c r="O231" s="43"/>
      <c r="P231" s="44"/>
      <c r="Q231" s="42"/>
      <c r="R231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32" spans="2:18" x14ac:dyDescent="0.2">
      <c r="B232" s="22" t="s">
        <v>446</v>
      </c>
      <c r="C232" s="23" t="s">
        <v>447</v>
      </c>
      <c r="D232" s="24">
        <f>Tabla1346891624324250586674829098106114122130138146154138162170178186194162170178202210218226234242250258266274282290298306314322330338344352360368376384162432[[#This Row],[STOCK]]</f>
        <v>0</v>
      </c>
      <c r="E232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32" s="23"/>
      <c r="G232" s="24"/>
      <c r="H232" s="39"/>
      <c r="I232" s="40"/>
      <c r="J232" s="41"/>
      <c r="K232" s="39"/>
      <c r="L232" s="40"/>
      <c r="M232" s="41"/>
      <c r="N232" s="39"/>
      <c r="O232" s="40"/>
      <c r="P232" s="41"/>
      <c r="Q232" s="39"/>
      <c r="R232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33" spans="2:18" x14ac:dyDescent="0.2">
      <c r="B233" s="29" t="s">
        <v>448</v>
      </c>
      <c r="C233" s="30" t="s">
        <v>449</v>
      </c>
      <c r="D233" s="31">
        <f>Tabla1346891624324250586674829098106114122130138146154138162170178186194162170178202210218226234242250258266274282290298306314322330338344352360368376384162432[[#This Row],[STOCK]]</f>
        <v>0</v>
      </c>
      <c r="E233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33" s="30"/>
      <c r="G233" s="31"/>
      <c r="H233" s="42"/>
      <c r="I233" s="43"/>
      <c r="J233" s="44"/>
      <c r="K233" s="42"/>
      <c r="L233" s="43"/>
      <c r="M233" s="44"/>
      <c r="N233" s="42"/>
      <c r="O233" s="43"/>
      <c r="P233" s="44"/>
      <c r="Q233" s="42"/>
      <c r="R233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34" spans="2:18" x14ac:dyDescent="0.2">
      <c r="B234" s="22" t="s">
        <v>450</v>
      </c>
      <c r="C234" s="23" t="s">
        <v>451</v>
      </c>
      <c r="D234" s="24">
        <f>Tabla1346891624324250586674829098106114122130138146154138162170178186194162170178202210218226234242250258266274282290298306314322330338344352360368376384162432[[#This Row],[STOCK]]</f>
        <v>0</v>
      </c>
      <c r="E234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34" s="23"/>
      <c r="G234" s="24"/>
      <c r="H234" s="39"/>
      <c r="I234" s="40"/>
      <c r="J234" s="41"/>
      <c r="K234" s="39"/>
      <c r="L234" s="40"/>
      <c r="M234" s="41"/>
      <c r="N234" s="39"/>
      <c r="O234" s="40"/>
      <c r="P234" s="41"/>
      <c r="Q234" s="39"/>
      <c r="R234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35" spans="2:18" x14ac:dyDescent="0.2">
      <c r="B235" s="29" t="s">
        <v>452</v>
      </c>
      <c r="C235" s="30" t="s">
        <v>453</v>
      </c>
      <c r="D235" s="31">
        <f>Tabla1346891624324250586674829098106114122130138146154138162170178186194162170178202210218226234242250258266274282290298306314322330338344352360368376384162432[[#This Row],[STOCK]]</f>
        <v>0</v>
      </c>
      <c r="E235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35" s="30"/>
      <c r="G235" s="31"/>
      <c r="H235" s="42"/>
      <c r="I235" s="43"/>
      <c r="J235" s="44"/>
      <c r="K235" s="42"/>
      <c r="L235" s="43"/>
      <c r="M235" s="44"/>
      <c r="N235" s="42"/>
      <c r="O235" s="43"/>
      <c r="P235" s="44"/>
      <c r="Q235" s="42"/>
      <c r="R235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36" spans="2:18" x14ac:dyDescent="0.2">
      <c r="B236" s="22" t="s">
        <v>454</v>
      </c>
      <c r="C236" s="23" t="s">
        <v>455</v>
      </c>
      <c r="D236" s="24">
        <f>Tabla1346891624324250586674829098106114122130138146154138162170178186194162170178202210218226234242250258266274282290298306314322330338344352360368376384162432[[#This Row],[STOCK]]</f>
        <v>0</v>
      </c>
      <c r="E236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36" s="23"/>
      <c r="G236" s="24"/>
      <c r="H236" s="39"/>
      <c r="I236" s="40"/>
      <c r="J236" s="41"/>
      <c r="K236" s="39"/>
      <c r="L236" s="40"/>
      <c r="M236" s="41"/>
      <c r="N236" s="39"/>
      <c r="O236" s="40"/>
      <c r="P236" s="41"/>
      <c r="Q236" s="39"/>
      <c r="R236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37" spans="2:18" x14ac:dyDescent="0.2">
      <c r="B237" s="29" t="s">
        <v>456</v>
      </c>
      <c r="C237" s="30" t="s">
        <v>457</v>
      </c>
      <c r="D237" s="31">
        <f>Tabla1346891624324250586674829098106114122130138146154138162170178186194162170178202210218226234242250258266274282290298306314322330338344352360368376384162432[[#This Row],[STOCK]]</f>
        <v>0</v>
      </c>
      <c r="E237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37" s="30"/>
      <c r="G237" s="31"/>
      <c r="H237" s="42"/>
      <c r="I237" s="43"/>
      <c r="J237" s="44"/>
      <c r="K237" s="42"/>
      <c r="L237" s="43"/>
      <c r="M237" s="44"/>
      <c r="N237" s="42"/>
      <c r="O237" s="43"/>
      <c r="P237" s="44"/>
      <c r="Q237" s="42"/>
      <c r="R237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38" spans="2:18" x14ac:dyDescent="0.2">
      <c r="B238" s="22" t="s">
        <v>458</v>
      </c>
      <c r="C238" s="23" t="s">
        <v>459</v>
      </c>
      <c r="D238" s="24">
        <f>Tabla1346891624324250586674829098106114122130138146154138162170178186194162170178202210218226234242250258266274282290298306314322330338344352360368376384162432[[#This Row],[STOCK]]</f>
        <v>0</v>
      </c>
      <c r="E238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38" s="23"/>
      <c r="G238" s="24"/>
      <c r="H238" s="39"/>
      <c r="I238" s="40"/>
      <c r="J238" s="41"/>
      <c r="K238" s="39"/>
      <c r="L238" s="40"/>
      <c r="M238" s="41"/>
      <c r="N238" s="39"/>
      <c r="O238" s="40"/>
      <c r="P238" s="41"/>
      <c r="Q238" s="39"/>
      <c r="R238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39" spans="2:18" x14ac:dyDescent="0.2">
      <c r="B239" s="29" t="s">
        <v>460</v>
      </c>
      <c r="C239" s="30" t="s">
        <v>461</v>
      </c>
      <c r="D239" s="31">
        <f>Tabla1346891624324250586674829098106114122130138146154138162170178186194162170178202210218226234242250258266274282290298306314322330338344352360368376384162432[[#This Row],[STOCK]]</f>
        <v>0</v>
      </c>
      <c r="E239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39" s="30"/>
      <c r="G239" s="31"/>
      <c r="H239" s="42"/>
      <c r="I239" s="43"/>
      <c r="J239" s="44"/>
      <c r="K239" s="42"/>
      <c r="L239" s="43"/>
      <c r="M239" s="44"/>
      <c r="N239" s="42"/>
      <c r="O239" s="43"/>
      <c r="P239" s="44"/>
      <c r="Q239" s="42"/>
      <c r="R239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40" spans="2:18" x14ac:dyDescent="0.2">
      <c r="B240" s="22" t="s">
        <v>462</v>
      </c>
      <c r="C240" s="23" t="s">
        <v>463</v>
      </c>
      <c r="D240" s="24">
        <f>Tabla1346891624324250586674829098106114122130138146154138162170178186194162170178202210218226234242250258266274282290298306314322330338344352360368376384162432[[#This Row],[STOCK]]</f>
        <v>0</v>
      </c>
      <c r="E240" s="25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40" s="23"/>
      <c r="G240" s="24"/>
      <c r="H240" s="39"/>
      <c r="I240" s="40"/>
      <c r="J240" s="41"/>
      <c r="K240" s="39"/>
      <c r="L240" s="40"/>
      <c r="M240" s="41"/>
      <c r="N240" s="39"/>
      <c r="O240" s="40"/>
      <c r="P240" s="41"/>
      <c r="Q240" s="39"/>
      <c r="R240" s="23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41" spans="2:18" x14ac:dyDescent="0.2">
      <c r="B241" s="29" t="s">
        <v>464</v>
      </c>
      <c r="C241" s="30" t="s">
        <v>465</v>
      </c>
      <c r="D241" s="31">
        <f>Tabla1346891624324250586674829098106114122130138146154138162170178186194162170178202210218226234242250258266274282290298306314322330338344352360368376384162432[[#This Row],[STOCK]]</f>
        <v>0</v>
      </c>
      <c r="E241" s="32">
        <f>Tabla134689162432425058667482909810611412213013814615413816217017818619416217017820221021822623424225025826627428229029830631432233033834435236036837638416243240[[#This Row],[INVENTARIO INICIAL]]+Tabla134689162432425058667482909810611412213013814615413816217017818619416217017820221021822623424225025826627428229029830631432233033834435236036837638416243240[[#This Row],[INGRESO LUNES]]-Tabla134689162432425058667482909810611412213013814615413816217017818619416217017820221021822623424225025826627428229029830631432233033834435236036837638416243240[[#This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Row],[INGRESO MARTES]]-Tabla134689162432425058667482909810611412213013814615413816217017818619416217017820221021822623424225025826627428229029830631432233033834435236036837638416243240[[#This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Row],[INGRESO MIERCOLES]]-Tabla134689162432425058667482909810611412213013814615413816217017818619416217017820221021822623424225025826627428229029830631432233033834435236036837638416243240[[#This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Row],[INGRESO JUEVES]]-Tabla134689162432425058667482909810611412213013814615413816217017818619416217017820221021822623424225025826627428229029830631432233033834435236036837638416243240[[#This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Row],[INGRESO VIERNES]]-Tabla134689162432425058667482909810611412213013814615413816217017818619416217017820221021822623424225025826627428229029830631432233033834435236036837638416243240[[#This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Row],[INGRESO SABADO]]-Tabla134689162432425058667482909810611412213013814615413816217017818619416217017820221021822623424225025826627428229029830631432233033834435236036837638416243240[[#This Row],[SALIDA SABADO]]</f>
        <v>0</v>
      </c>
      <c r="F241" s="30"/>
      <c r="G241" s="31"/>
      <c r="H241" s="42"/>
      <c r="I241" s="43"/>
      <c r="J241" s="44"/>
      <c r="K241" s="42"/>
      <c r="L241" s="43"/>
      <c r="M241" s="44"/>
      <c r="N241" s="42"/>
      <c r="O241" s="43"/>
      <c r="P241" s="44"/>
      <c r="Q241" s="42"/>
      <c r="R241" s="30">
        <f>Tabla134689162432425058667482909810611412213013814615413816217017818619416217017820221021822623424225025826627428229029830631432233033834435236036837638416243240[[#This Row],[VENTA LUNES]]+Tabla134689162432425058667482909810611412213013814615413816217017818619416217017820221021822623424225025826627428229029830631432233033834435236036837638416243240[[#This Row],[VENTA MARTES]]+Tabla134689162432425058667482909810611412213013814615413816217017818619416217017820221021822623424225025826627428229029830631432233033834435236036837638416243240[[#This Row],[VENTA MIERCOLES]]+Tabla134689162432425058667482909810611412213013814615413816217017818619416217017820221021822623424225025826627428229029830631432233033834435236036837638416243240[[#This Row],[VENTA JUEVES]]+Tabla134689162432425058667482909810611412213013814615413816217017818619416217017820221021822623424225025826627428229029830631432233033834435236036837638416243240[[#This Row],[SALIDA VIERNES]]+Tabla134689162432425058667482909810611412213013814615413816217017818619416217017820221021822623424225025826627428229029830631432233033834435236036837638416243240[[#This Row],[SALIDA SABADO]]</f>
        <v>0</v>
      </c>
    </row>
    <row r="243" spans="2:18" s="54" customFormat="1" ht="38.25" x14ac:dyDescent="0.2">
      <c r="B243" s="17" t="s">
        <v>466</v>
      </c>
      <c r="C243" s="17" t="s">
        <v>5</v>
      </c>
      <c r="D243" s="17" t="s">
        <v>6</v>
      </c>
      <c r="E243" s="55" t="s">
        <v>7</v>
      </c>
      <c r="F243" s="17" t="s">
        <v>8</v>
      </c>
      <c r="G243" s="17" t="s">
        <v>51</v>
      </c>
      <c r="H243" s="17" t="s">
        <v>10</v>
      </c>
      <c r="I243" s="17" t="s">
        <v>11</v>
      </c>
      <c r="J243" s="17" t="s">
        <v>12</v>
      </c>
      <c r="K243" s="17" t="s">
        <v>13</v>
      </c>
      <c r="L243" s="17" t="s">
        <v>14</v>
      </c>
      <c r="M243" s="17" t="s">
        <v>15</v>
      </c>
      <c r="N243" s="17" t="s">
        <v>16</v>
      </c>
      <c r="O243" s="17" t="s">
        <v>17</v>
      </c>
      <c r="P243" s="17" t="s">
        <v>18</v>
      </c>
      <c r="Q243" s="17" t="s">
        <v>19</v>
      </c>
      <c r="R243" s="17" t="s">
        <v>20</v>
      </c>
    </row>
    <row r="244" spans="2:18" x14ac:dyDescent="0.2">
      <c r="B244" s="29" t="s">
        <v>467</v>
      </c>
      <c r="C244" s="30" t="s">
        <v>468</v>
      </c>
      <c r="D244" s="31">
        <f>Tabla134689101725334351596775839199107115123131139147155139163171179187195163171179203211219227235243251259267275283291299307315323331339345353361369377385172533[[#This Row],[STOCK]]</f>
        <v>244</v>
      </c>
      <c r="E244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237</v>
      </c>
      <c r="F244" s="30"/>
      <c r="G244" s="31">
        <v>2</v>
      </c>
      <c r="H244" s="42"/>
      <c r="I244" s="43">
        <v>5</v>
      </c>
      <c r="J244" s="44"/>
      <c r="K244" s="42"/>
      <c r="L244" s="43"/>
      <c r="M244" s="44"/>
      <c r="N244" s="42"/>
      <c r="O244" s="43"/>
      <c r="P244" s="44"/>
      <c r="Q244" s="42"/>
      <c r="R244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7</v>
      </c>
    </row>
    <row r="245" spans="2:18" x14ac:dyDescent="0.2">
      <c r="B245" s="22" t="s">
        <v>469</v>
      </c>
      <c r="C245" s="23" t="s">
        <v>470</v>
      </c>
      <c r="D245" s="24">
        <f>Tabla134689101725334351596775839199107115123131139147155139163171179187195163171179203211219227235243251259267275283291299307315323331339345353361369377385172533[[#This Row],[STOCK]]</f>
        <v>273</v>
      </c>
      <c r="E245" s="25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268</v>
      </c>
      <c r="F245" s="23"/>
      <c r="G245" s="24"/>
      <c r="H245" s="39"/>
      <c r="I245" s="40">
        <v>5</v>
      </c>
      <c r="J245" s="41"/>
      <c r="K245" s="39"/>
      <c r="L245" s="40"/>
      <c r="M245" s="41"/>
      <c r="N245" s="39"/>
      <c r="O245" s="40"/>
      <c r="P245" s="41"/>
      <c r="Q245" s="39"/>
      <c r="R245" s="23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5</v>
      </c>
    </row>
    <row r="246" spans="2:18" x14ac:dyDescent="0.2">
      <c r="B246" s="29" t="s">
        <v>471</v>
      </c>
      <c r="C246" s="30" t="s">
        <v>472</v>
      </c>
      <c r="D246" s="31">
        <f>Tabla134689101725334351596775839199107115123131139147155139163171179187195163171179203211219227235243251259267275283291299307315323331339345353361369377385172533[[#This Row],[STOCK]]</f>
        <v>200</v>
      </c>
      <c r="E246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193</v>
      </c>
      <c r="F246" s="30"/>
      <c r="G246" s="31"/>
      <c r="H246" s="42"/>
      <c r="I246" s="43">
        <v>7</v>
      </c>
      <c r="J246" s="44"/>
      <c r="K246" s="42"/>
      <c r="L246" s="43"/>
      <c r="M246" s="44"/>
      <c r="N246" s="42"/>
      <c r="O246" s="43"/>
      <c r="P246" s="44"/>
      <c r="Q246" s="42"/>
      <c r="R246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7</v>
      </c>
    </row>
    <row r="247" spans="2:18" x14ac:dyDescent="0.2">
      <c r="B247" s="22" t="s">
        <v>473</v>
      </c>
      <c r="C247" s="23" t="s">
        <v>474</v>
      </c>
      <c r="D247" s="24">
        <f>Tabla134689101725334351596775839199107115123131139147155139163171179187195163171179203211219227235243251259267275283291299307315323331339345353361369377385172533[[#This Row],[STOCK]]</f>
        <v>161</v>
      </c>
      <c r="E247" s="25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152</v>
      </c>
      <c r="F247" s="23"/>
      <c r="G247" s="24">
        <v>2</v>
      </c>
      <c r="H247" s="39"/>
      <c r="I247" s="40">
        <v>7</v>
      </c>
      <c r="J247" s="41"/>
      <c r="K247" s="39"/>
      <c r="L247" s="40"/>
      <c r="M247" s="41"/>
      <c r="N247" s="39"/>
      <c r="O247" s="40"/>
      <c r="P247" s="41"/>
      <c r="Q247" s="39"/>
      <c r="R247" s="23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9</v>
      </c>
    </row>
    <row r="248" spans="2:18" x14ac:dyDescent="0.2">
      <c r="B248" s="29" t="s">
        <v>475</v>
      </c>
      <c r="C248" s="30" t="s">
        <v>476</v>
      </c>
      <c r="D248" s="31">
        <f>Tabla134689101725334351596775839199107115123131139147155139163171179187195163171179203211219227235243251259267275283291299307315323331339345353361369377385172533[[#This Row],[STOCK]]</f>
        <v>596</v>
      </c>
      <c r="E248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586</v>
      </c>
      <c r="F248" s="30"/>
      <c r="G248" s="31"/>
      <c r="H248" s="42"/>
      <c r="I248" s="43">
        <v>10</v>
      </c>
      <c r="J248" s="44"/>
      <c r="K248" s="42"/>
      <c r="L248" s="43"/>
      <c r="M248" s="44"/>
      <c r="N248" s="42"/>
      <c r="O248" s="43"/>
      <c r="P248" s="44"/>
      <c r="Q248" s="42"/>
      <c r="R248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10</v>
      </c>
    </row>
    <row r="249" spans="2:18" x14ac:dyDescent="0.2">
      <c r="B249" s="22" t="s">
        <v>477</v>
      </c>
      <c r="C249" s="23" t="s">
        <v>478</v>
      </c>
      <c r="D249" s="24">
        <f>Tabla134689101725334351596775839199107115123131139147155139163171179187195163171179203211219227235243251259267275283291299307315323331339345353361369377385172533[[#This Row],[STOCK]]</f>
        <v>240</v>
      </c>
      <c r="E249" s="25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235</v>
      </c>
      <c r="F249" s="23"/>
      <c r="G249" s="24"/>
      <c r="H249" s="39"/>
      <c r="I249" s="40">
        <v>5</v>
      </c>
      <c r="J249" s="41"/>
      <c r="K249" s="39"/>
      <c r="L249" s="40"/>
      <c r="M249" s="41"/>
      <c r="N249" s="39"/>
      <c r="O249" s="40"/>
      <c r="P249" s="41"/>
      <c r="Q249" s="39"/>
      <c r="R249" s="23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5</v>
      </c>
    </row>
    <row r="250" spans="2:18" x14ac:dyDescent="0.2">
      <c r="B250" s="29" t="s">
        <v>479</v>
      </c>
      <c r="C250" s="30" t="s">
        <v>480</v>
      </c>
      <c r="D250" s="31">
        <f>Tabla134689101725334351596775839199107115123131139147155139163171179187195163171179203211219227235243251259267275283291299307315323331339345353361369377385172533[[#This Row],[STOCK]]</f>
        <v>220</v>
      </c>
      <c r="E250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195</v>
      </c>
      <c r="F250" s="30"/>
      <c r="G250" s="31"/>
      <c r="H250" s="42"/>
      <c r="I250" s="43">
        <v>5</v>
      </c>
      <c r="J250" s="44"/>
      <c r="K250" s="42">
        <v>20</v>
      </c>
      <c r="L250" s="43"/>
      <c r="M250" s="44"/>
      <c r="N250" s="42"/>
      <c r="O250" s="43"/>
      <c r="P250" s="44"/>
      <c r="Q250" s="42"/>
      <c r="R250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25</v>
      </c>
    </row>
    <row r="251" spans="2:18" x14ac:dyDescent="0.2">
      <c r="B251" s="22" t="s">
        <v>481</v>
      </c>
      <c r="C251" s="23" t="s">
        <v>482</v>
      </c>
      <c r="D251" s="24">
        <f>Tabla134689101725334351596775839199107115123131139147155139163171179187195163171179203211219227235243251259267275283291299307315323331339345353361369377385172533[[#This Row],[STOCK]]</f>
        <v>1145</v>
      </c>
      <c r="E251" s="25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1120</v>
      </c>
      <c r="F251" s="23"/>
      <c r="G251" s="24"/>
      <c r="H251" s="39"/>
      <c r="I251" s="40">
        <v>5</v>
      </c>
      <c r="J251" s="41"/>
      <c r="K251" s="39">
        <v>20</v>
      </c>
      <c r="L251" s="40"/>
      <c r="M251" s="41"/>
      <c r="N251" s="39"/>
      <c r="O251" s="40"/>
      <c r="P251" s="41"/>
      <c r="Q251" s="39"/>
      <c r="R251" s="23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25</v>
      </c>
    </row>
    <row r="252" spans="2:18" x14ac:dyDescent="0.2">
      <c r="B252" s="29" t="s">
        <v>483</v>
      </c>
      <c r="C252" s="30" t="s">
        <v>484</v>
      </c>
      <c r="D252" s="31">
        <f>Tabla134689101725334351596775839199107115123131139147155139163171179187195163171179203211219227235243251259267275283291299307315323331339345353361369377385172533[[#This Row],[STOCK]]</f>
        <v>667</v>
      </c>
      <c r="E252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642</v>
      </c>
      <c r="F252" s="30"/>
      <c r="G252" s="31"/>
      <c r="H252" s="42"/>
      <c r="I252" s="43">
        <v>5</v>
      </c>
      <c r="J252" s="44"/>
      <c r="K252" s="42">
        <v>20</v>
      </c>
      <c r="L252" s="43"/>
      <c r="M252" s="44"/>
      <c r="N252" s="42"/>
      <c r="O252" s="43"/>
      <c r="P252" s="44"/>
      <c r="Q252" s="42"/>
      <c r="R252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25</v>
      </c>
    </row>
    <row r="253" spans="2:18" x14ac:dyDescent="0.2">
      <c r="B253" s="22" t="s">
        <v>485</v>
      </c>
      <c r="C253" s="23" t="s">
        <v>486</v>
      </c>
      <c r="D253" s="24">
        <f>Tabla134689101725334351596775839199107115123131139147155139163171179187195163171179203211219227235243251259267275283291299307315323331339345353361369377385172533[[#This Row],[STOCK]]</f>
        <v>583</v>
      </c>
      <c r="E253" s="25" t="e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#VALUE!</v>
      </c>
      <c r="F253" s="23"/>
      <c r="G253" s="24">
        <v>2</v>
      </c>
      <c r="H253" s="39"/>
      <c r="I253" s="40"/>
      <c r="J253" s="41"/>
      <c r="K253" s="39" t="s">
        <v>509</v>
      </c>
      <c r="L253" s="40"/>
      <c r="M253" s="41"/>
      <c r="N253" s="39"/>
      <c r="O253" s="40"/>
      <c r="P253" s="41"/>
      <c r="Q253" s="39"/>
      <c r="R253" s="23" t="e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#VALUE!</v>
      </c>
    </row>
    <row r="254" spans="2:18" x14ac:dyDescent="0.2">
      <c r="B254" s="29" t="s">
        <v>487</v>
      </c>
      <c r="C254" s="30" t="s">
        <v>488</v>
      </c>
      <c r="D254" s="31">
        <f>Tabla134689101725334351596775839199107115123131139147155139163171179187195163171179203211219227235243251259267275283291299307315323331339345353361369377385172533[[#This Row],[STOCK]]</f>
        <v>234</v>
      </c>
      <c r="E254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219</v>
      </c>
      <c r="F254" s="30"/>
      <c r="G254" s="31"/>
      <c r="H254" s="42"/>
      <c r="I254" s="43"/>
      <c r="J254" s="44"/>
      <c r="K254" s="42">
        <v>15</v>
      </c>
      <c r="L254" s="43"/>
      <c r="M254" s="44"/>
      <c r="N254" s="42"/>
      <c r="O254" s="43"/>
      <c r="P254" s="44"/>
      <c r="Q254" s="42"/>
      <c r="R254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15</v>
      </c>
    </row>
    <row r="255" spans="2:18" x14ac:dyDescent="0.2">
      <c r="B255" s="22" t="s">
        <v>489</v>
      </c>
      <c r="C255" s="23" t="s">
        <v>490</v>
      </c>
      <c r="D255" s="24">
        <f>Tabla134689101725334351596775839199107115123131139147155139163171179187195163171179203211219227235243251259267275283291299307315323331339345353361369377385172533[[#This Row],[STOCK]]</f>
        <v>341</v>
      </c>
      <c r="E255" s="25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329</v>
      </c>
      <c r="F255" s="23"/>
      <c r="G255" s="24">
        <v>2</v>
      </c>
      <c r="H255" s="39"/>
      <c r="I255" s="40"/>
      <c r="J255" s="41"/>
      <c r="K255" s="39">
        <v>10</v>
      </c>
      <c r="L255" s="40"/>
      <c r="M255" s="41"/>
      <c r="N255" s="39"/>
      <c r="O255" s="40"/>
      <c r="P255" s="41"/>
      <c r="Q255" s="39"/>
      <c r="R255" s="23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12</v>
      </c>
    </row>
    <row r="256" spans="2:18" x14ac:dyDescent="0.2">
      <c r="B256" s="29" t="s">
        <v>491</v>
      </c>
      <c r="C256" s="30" t="s">
        <v>492</v>
      </c>
      <c r="D256" s="31">
        <f>Tabla134689101725334351596775839199107115123131139147155139163171179187195163171179203211219227235243251259267275283291299307315323331339345353361369377385172533[[#This Row],[STOCK]]</f>
        <v>110</v>
      </c>
      <c r="E256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95</v>
      </c>
      <c r="F256" s="30"/>
      <c r="G256" s="31"/>
      <c r="H256" s="42"/>
      <c r="I256" s="43"/>
      <c r="J256" s="44"/>
      <c r="K256" s="42">
        <v>15</v>
      </c>
      <c r="L256" s="43"/>
      <c r="M256" s="44"/>
      <c r="N256" s="42"/>
      <c r="O256" s="43"/>
      <c r="P256" s="44"/>
      <c r="Q256" s="42"/>
      <c r="R256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15</v>
      </c>
    </row>
    <row r="257" spans="2:18" x14ac:dyDescent="0.2">
      <c r="B257" s="22" t="s">
        <v>493</v>
      </c>
      <c r="C257" s="23" t="s">
        <v>494</v>
      </c>
      <c r="D257" s="24">
        <f>Tabla134689101725334351596775839199107115123131139147155139163171179187195163171179203211219227235243251259267275283291299307315323331339345353361369377385172533[[#This Row],[STOCK]]</f>
        <v>214</v>
      </c>
      <c r="E257" s="25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197</v>
      </c>
      <c r="F257" s="23"/>
      <c r="G257" s="24">
        <v>2</v>
      </c>
      <c r="H257" s="39"/>
      <c r="I257" s="40"/>
      <c r="J257" s="41"/>
      <c r="K257" s="39">
        <v>15</v>
      </c>
      <c r="L257" s="40"/>
      <c r="M257" s="41"/>
      <c r="N257" s="39"/>
      <c r="O257" s="40"/>
      <c r="P257" s="41"/>
      <c r="Q257" s="39"/>
      <c r="R257" s="23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17</v>
      </c>
    </row>
    <row r="258" spans="2:18" x14ac:dyDescent="0.2">
      <c r="B258" s="29" t="s">
        <v>495</v>
      </c>
      <c r="C258" s="30" t="s">
        <v>496</v>
      </c>
      <c r="D258" s="31">
        <f>Tabla134689101725334351596775839199107115123131139147155139163171179187195163171179203211219227235243251259267275283291299307315323331339345353361369377385172533[[#This Row],[STOCK]]</f>
        <v>350</v>
      </c>
      <c r="E258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335</v>
      </c>
      <c r="F258" s="30"/>
      <c r="G258" s="31"/>
      <c r="H258" s="42"/>
      <c r="I258" s="43"/>
      <c r="J258" s="44"/>
      <c r="K258" s="42">
        <v>15</v>
      </c>
      <c r="L258" s="43"/>
      <c r="M258" s="44"/>
      <c r="N258" s="42"/>
      <c r="O258" s="43"/>
      <c r="P258" s="44"/>
      <c r="Q258" s="42"/>
      <c r="R258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15</v>
      </c>
    </row>
    <row r="259" spans="2:18" x14ac:dyDescent="0.2">
      <c r="B259" s="22" t="s">
        <v>497</v>
      </c>
      <c r="C259" s="23" t="s">
        <v>498</v>
      </c>
      <c r="D259" s="24">
        <f>Tabla134689101725334351596775839199107115123131139147155139163171179187195163171179203211219227235243251259267275283291299307315323331339345353361369377385172533[[#This Row],[STOCK]]</f>
        <v>430</v>
      </c>
      <c r="E259" s="25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430</v>
      </c>
      <c r="F259" s="23"/>
      <c r="G259" s="24"/>
      <c r="H259" s="39"/>
      <c r="I259" s="40"/>
      <c r="J259" s="41"/>
      <c r="K259" s="39"/>
      <c r="L259" s="40"/>
      <c r="M259" s="41"/>
      <c r="N259" s="39"/>
      <c r="O259" s="40"/>
      <c r="P259" s="41"/>
      <c r="Q259" s="39"/>
      <c r="R259" s="23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0</v>
      </c>
    </row>
    <row r="260" spans="2:18" x14ac:dyDescent="0.2">
      <c r="B260" s="29" t="s">
        <v>499</v>
      </c>
      <c r="C260" s="30" t="s">
        <v>500</v>
      </c>
      <c r="D260" s="31">
        <f>Tabla134689101725334351596775839199107115123131139147155139163171179187195163171179203211219227235243251259267275283291299307315323331339345353361369377385172533[[#This Row],[STOCK]]</f>
        <v>837</v>
      </c>
      <c r="E260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837</v>
      </c>
      <c r="F260" s="30"/>
      <c r="G260" s="31"/>
      <c r="H260" s="42"/>
      <c r="I260" s="43"/>
      <c r="J260" s="44"/>
      <c r="K260" s="42"/>
      <c r="L260" s="43"/>
      <c r="M260" s="44"/>
      <c r="N260" s="42"/>
      <c r="O260" s="43"/>
      <c r="P260" s="44"/>
      <c r="Q260" s="42"/>
      <c r="R260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0</v>
      </c>
    </row>
    <row r="261" spans="2:18" x14ac:dyDescent="0.2">
      <c r="B261" s="22" t="s">
        <v>501</v>
      </c>
      <c r="C261" s="23" t="s">
        <v>502</v>
      </c>
      <c r="D261" s="24">
        <f>Tabla134689101725334351596775839199107115123131139147155139163171179187195163171179203211219227235243251259267275283291299307315323331339345353361369377385172533[[#This Row],[STOCK]]</f>
        <v>389</v>
      </c>
      <c r="E261" s="25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387</v>
      </c>
      <c r="F261" s="23"/>
      <c r="G261" s="24">
        <v>2</v>
      </c>
      <c r="H261" s="39"/>
      <c r="I261" s="40"/>
      <c r="J261" s="41"/>
      <c r="K261" s="39"/>
      <c r="L261" s="40"/>
      <c r="M261" s="41"/>
      <c r="N261" s="39"/>
      <c r="O261" s="40"/>
      <c r="P261" s="41"/>
      <c r="Q261" s="39"/>
      <c r="R261" s="23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2</v>
      </c>
    </row>
    <row r="262" spans="2:18" x14ac:dyDescent="0.2">
      <c r="B262" s="29" t="s">
        <v>503</v>
      </c>
      <c r="C262" s="30" t="s">
        <v>504</v>
      </c>
      <c r="D262" s="31">
        <f>Tabla134689101725334351596775839199107115123131139147155139163171179187195163171179203211219227235243251259267275283291299307315323331339345353361369377385172533[[#This Row],[STOCK]]</f>
        <v>249</v>
      </c>
      <c r="E262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249</v>
      </c>
      <c r="F262" s="30"/>
      <c r="G262" s="31"/>
      <c r="H262" s="42"/>
      <c r="I262" s="43"/>
      <c r="J262" s="44"/>
      <c r="K262" s="42"/>
      <c r="L262" s="43"/>
      <c r="M262" s="44"/>
      <c r="N262" s="42"/>
      <c r="O262" s="43"/>
      <c r="P262" s="44"/>
      <c r="Q262" s="42"/>
      <c r="R262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0</v>
      </c>
    </row>
    <row r="263" spans="2:18" x14ac:dyDescent="0.2">
      <c r="B263" s="22" t="s">
        <v>505</v>
      </c>
      <c r="C263" s="23" t="s">
        <v>506</v>
      </c>
      <c r="D263" s="24">
        <f>Tabla134689101725334351596775839199107115123131139147155139163171179187195163171179203211219227235243251259267275283291299307315323331339345353361369377385172533[[#This Row],[STOCK]]</f>
        <v>458</v>
      </c>
      <c r="E263" s="25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453</v>
      </c>
      <c r="F263" s="23"/>
      <c r="G263" s="24">
        <v>3</v>
      </c>
      <c r="H263" s="39"/>
      <c r="I263" s="40">
        <v>2</v>
      </c>
      <c r="J263" s="41"/>
      <c r="K263" s="39"/>
      <c r="L263" s="40"/>
      <c r="M263" s="41"/>
      <c r="N263" s="39"/>
      <c r="O263" s="40"/>
      <c r="P263" s="41"/>
      <c r="Q263" s="39"/>
      <c r="R263" s="23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5</v>
      </c>
    </row>
    <row r="264" spans="2:18" x14ac:dyDescent="0.2">
      <c r="B264" s="29" t="s">
        <v>507</v>
      </c>
      <c r="C264" s="30" t="s">
        <v>508</v>
      </c>
      <c r="D264" s="31">
        <f>Tabla134689101725334351596775839199107115123131139147155139163171179187195163171179203211219227235243251259267275283291299307315323331339345353361369377385172533[[#This Row],[STOCK]]</f>
        <v>107</v>
      </c>
      <c r="E264" s="32">
        <f>Tabla13468910172533435159677583919910711512313113914715513916317117918719516317117920321121922723524325125926727528329129930731532333133934535336136937738517253341[[#This Row],[INVENTARIO INICIAL]]+Tabla13468910172533435159677583919910711512313113914715513916317117918719516317117920321121922723524325125926727528329129930731532333133934535336136937738517253341[[#This Row],[INGRESO LUNES]]-Tabla13468910172533435159677583919910711512313113914715513916317117918719516317117920321121922723524325125926727528329129930731532333133934535336136937738517253341[[#This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Row],[INGRESO MARTES]]-Tabla13468910172533435159677583919910711512313113914715513916317117918719516317117920321121922723524325125926727528329129930731532333133934535336136937738517253341[[#This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Row],[INGRESO MIERCOLES]]-Tabla13468910172533435159677583919910711512313113914715513916317117918719516317117920321121922723524325125926727528329129930731532333133934535336136937738517253341[[#This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Row],[INGRESO JUEVES]]-Tabla13468910172533435159677583919910711512313113914715513916317117918719516317117920321121922723524325125926727528329129930731532333133934535336136937738517253341[[#This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Row],[INGRESO VIERNES]]-Tabla13468910172533435159677583919910711512313113914715513916317117918719516317117920321121922723524325125926727528329129930731532333133934535336136937738517253341[[#This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 INGRESO SABADO]]-Tabla13468910172533435159677583919910711512313113914715513916317117918719516317117920321121922723524325125926727528329129930731532333133934535336136937738517253341[[#This Row],[VENTA SABADO]]</f>
        <v>102</v>
      </c>
      <c r="F264" s="30"/>
      <c r="G264" s="31">
        <v>2</v>
      </c>
      <c r="H264" s="42"/>
      <c r="I264" s="43">
        <v>3</v>
      </c>
      <c r="J264" s="44"/>
      <c r="K264" s="42"/>
      <c r="L264" s="43"/>
      <c r="M264" s="44"/>
      <c r="N264" s="42"/>
      <c r="O264" s="43"/>
      <c r="P264" s="44"/>
      <c r="Q264" s="42"/>
      <c r="R264" s="30">
        <f>Tabla13468910172533435159677583919910711512313113914715513916317117918719516317117920321121922723524325125926727528329129930731532333133934535336136937738517253341[[#This Row],[VENTA LUNES]]+Tabla13468910172533435159677583919910711512313113914715513916317117918719516317117920321121922723524325125926727528329129930731532333133934535336136937738517253341[[#This Row],[VENTA MARTES]]+Tabla13468910172533435159677583919910711512313113914715513916317117918719516317117920321121922723524325125926727528329129930731532333133934535336136937738517253341[[#This Row],[VENTA MIERCOLES]]+Tabla13468910172533435159677583919910711512313113914715513916317117918719516317117920321121922723524325125926727528329129930731532333133934535336136937738517253341[[#This Row],[VENTA JUEVES]]+Tabla13468910172533435159677583919910711512313113914715513916317117918719516317117920321121922723524325125926727528329129930731532333133934535336136937738517253341[[#This Row],[VENTA VIERNES]]+Tabla13468910172533435159677583919910711512313113914715513916317117918719516317117920321121922723524325125926727528329129930731532333133934535336136937738517253341[[#This Row],[VENTA SABADO]]</f>
        <v>5</v>
      </c>
    </row>
  </sheetData>
  <mergeCells count="5">
    <mergeCell ref="B1:G2"/>
    <mergeCell ref="B4:B5"/>
    <mergeCell ref="C4:D4"/>
    <mergeCell ref="C5:D5"/>
    <mergeCell ref="S20:V20"/>
  </mergeCells>
  <conditionalFormatting sqref="E26:E29">
    <cfRule type="cellIs" dxfId="269" priority="29" operator="lessThan">
      <formula>51</formula>
    </cfRule>
    <cfRule type="cellIs" dxfId="268" priority="30" operator="lessThan">
      <formula>0</formula>
    </cfRule>
  </conditionalFormatting>
  <conditionalFormatting sqref="E30:E39">
    <cfRule type="cellIs" dxfId="267" priority="27" operator="lessThan">
      <formula>51</formula>
    </cfRule>
    <cfRule type="cellIs" dxfId="266" priority="28" operator="lessThan">
      <formula>0</formula>
    </cfRule>
  </conditionalFormatting>
  <conditionalFormatting sqref="E40:E56">
    <cfRule type="cellIs" dxfId="265" priority="25" operator="lessThan">
      <formula>51</formula>
    </cfRule>
    <cfRule type="cellIs" dxfId="264" priority="26" operator="lessThan">
      <formula>0</formula>
    </cfRule>
  </conditionalFormatting>
  <conditionalFormatting sqref="E59:E61">
    <cfRule type="cellIs" dxfId="263" priority="23" operator="lessThan">
      <formula>51</formula>
    </cfRule>
    <cfRule type="cellIs" dxfId="262" priority="24" operator="lessThan">
      <formula>0</formula>
    </cfRule>
  </conditionalFormatting>
  <conditionalFormatting sqref="E62:E71">
    <cfRule type="cellIs" dxfId="261" priority="21" operator="lessThan">
      <formula>51</formula>
    </cfRule>
    <cfRule type="cellIs" dxfId="260" priority="22" operator="lessThan">
      <formula>0</formula>
    </cfRule>
  </conditionalFormatting>
  <conditionalFormatting sqref="E72:E88">
    <cfRule type="cellIs" dxfId="259" priority="19" operator="lessThan">
      <formula>51</formula>
    </cfRule>
    <cfRule type="cellIs" dxfId="258" priority="20" operator="lessThan">
      <formula>0</formula>
    </cfRule>
  </conditionalFormatting>
  <conditionalFormatting sqref="E89:E92">
    <cfRule type="cellIs" dxfId="257" priority="17" operator="lessThan">
      <formula>51</formula>
    </cfRule>
    <cfRule type="cellIs" dxfId="256" priority="18" operator="lessThan">
      <formula>0</formula>
    </cfRule>
  </conditionalFormatting>
  <conditionalFormatting sqref="E93:E96">
    <cfRule type="cellIs" dxfId="255" priority="15" operator="lessThan">
      <formula>51</formula>
    </cfRule>
    <cfRule type="cellIs" dxfId="254" priority="16" operator="lessThan">
      <formula>0</formula>
    </cfRule>
  </conditionalFormatting>
  <conditionalFormatting sqref="E99:E134">
    <cfRule type="cellIs" dxfId="253" priority="13" operator="lessThan">
      <formula>51</formula>
    </cfRule>
    <cfRule type="cellIs" dxfId="252" priority="14" operator="lessThan">
      <formula>0</formula>
    </cfRule>
  </conditionalFormatting>
  <conditionalFormatting sqref="E137:E151">
    <cfRule type="cellIs" dxfId="251" priority="11" operator="lessThan">
      <formula>51</formula>
    </cfRule>
    <cfRule type="cellIs" dxfId="250" priority="12" operator="lessThan">
      <formula>0</formula>
    </cfRule>
  </conditionalFormatting>
  <conditionalFormatting sqref="E154:E193">
    <cfRule type="cellIs" dxfId="249" priority="9" operator="lessThan">
      <formula>51</formula>
    </cfRule>
    <cfRule type="cellIs" dxfId="248" priority="10" operator="lessThan">
      <formula>0</formula>
    </cfRule>
  </conditionalFormatting>
  <conditionalFormatting sqref="E235:E241">
    <cfRule type="cellIs" dxfId="247" priority="7" operator="lessThan">
      <formula>51</formula>
    </cfRule>
    <cfRule type="cellIs" dxfId="246" priority="8" operator="lessThan">
      <formula>0</formula>
    </cfRule>
  </conditionalFormatting>
  <conditionalFormatting sqref="E196:E234">
    <cfRule type="cellIs" dxfId="245" priority="5" operator="lessThan">
      <formula>51</formula>
    </cfRule>
    <cfRule type="cellIs" dxfId="244" priority="6" operator="lessThan">
      <formula>0</formula>
    </cfRule>
  </conditionalFormatting>
  <conditionalFormatting sqref="E244:E264">
    <cfRule type="cellIs" dxfId="243" priority="3" operator="lessThan">
      <formula>51</formula>
    </cfRule>
    <cfRule type="cellIs" dxfId="242" priority="4" operator="lessThan">
      <formula>0</formula>
    </cfRule>
  </conditionalFormatting>
  <conditionalFormatting sqref="E10:E23">
    <cfRule type="cellIs" dxfId="241" priority="1" operator="lessThan">
      <formula>51</formula>
    </cfRule>
    <cfRule type="cellIs" dxfId="240" priority="2" operator="lessThan">
      <formula>0</formula>
    </cfRule>
  </conditionalFormatting>
  <pageMargins left="0.5" right="0.5" top="0.5" bottom="0.5" header="0.5" footer="0.5"/>
  <pageSetup orientation="landscape" horizontalDpi="360" verticalDpi="360" r:id="rId1"/>
  <headerFooter alignWithMargins="0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OCT2</vt:lpstr>
      <vt:lpstr>OCT3</vt:lpstr>
      <vt:lpstr>OCT4</vt:lpstr>
      <vt:lpstr>OCT5</vt:lpstr>
      <vt:lpstr>NOV 1</vt:lpstr>
      <vt:lpstr>'NOV 1'!Área_de_impresión</vt:lpstr>
      <vt:lpstr>'OCT4'!Área_de_impresión</vt:lpstr>
      <vt:lpstr>'OCT5'!Área_de_impresión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durey_almacen@outlook.es</cp:lastModifiedBy>
  <dcterms:created xsi:type="dcterms:W3CDTF">2024-10-11T19:11:56Z</dcterms:created>
  <dcterms:modified xsi:type="dcterms:W3CDTF">2026-06-19T18:18:21Z</dcterms:modified>
</cp:coreProperties>
</file>